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hiro/work/phr/docs/refactor/health_exam_result/"/>
    </mc:Choice>
  </mc:AlternateContent>
  <xr:revisionPtr revIDLastSave="0" documentId="13_ncr:1_{1AAACD84-86C3-424F-9537-473525CC0C81}" xr6:coauthVersionLast="47" xr6:coauthVersionMax="47" xr10:uidLastSave="{00000000-0000-0000-0000-000000000000}"/>
  <bookViews>
    <workbookView xWindow="20" yWindow="860" windowWidth="28780" windowHeight="15280" xr2:uid="{00000000-000D-0000-FFFF-FFFF00000000}"/>
  </bookViews>
  <sheets>
    <sheet name="値の有無の判定の整理" sheetId="4" r:id="rId1"/>
    <sheet name="項目対応表" sheetId="1" r:id="rId2"/>
    <sheet name="省略・代替の基準" sheetId="2" r:id="rId3"/>
    <sheet name="参照元・出典一覧" sheetId="3" r:id="rId4"/>
    <sheet name="付属2(健診項目一覧)" sheetId="5" r:id="rId5"/>
  </sheets>
  <definedNames>
    <definedName name="_xlnm._FilterDatabase" localSheetId="0" hidden="1">値の有無の判定の整理!$A$1:$X$1</definedName>
    <definedName name="_xlnm._FilterDatabase" localSheetId="4" hidden="1">'付属2(健診項目一覧)'!$D$1:$AA$330</definedName>
    <definedName name="_xlnm.Print_Titles" localSheetId="4">'付属2(健診項目一覧)'!$1:$1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30" i="5" l="1"/>
  <c r="AC330" i="5" s="1"/>
  <c r="AB329" i="5"/>
  <c r="AC329" i="5" s="1"/>
  <c r="AB328" i="5"/>
  <c r="AC328" i="5" s="1"/>
  <c r="AB327" i="5"/>
  <c r="AC327" i="5" s="1"/>
  <c r="AC326" i="5"/>
  <c r="AB326" i="5"/>
  <c r="AB325" i="5"/>
  <c r="AC325" i="5" s="1"/>
  <c r="AB324" i="5"/>
  <c r="AC324" i="5" s="1"/>
  <c r="AB323" i="5"/>
  <c r="AB322" i="5"/>
  <c r="AB321" i="5"/>
  <c r="AB320" i="5"/>
  <c r="AB319" i="5"/>
  <c r="AB318" i="5"/>
  <c r="AB317" i="5"/>
  <c r="AB316" i="5"/>
  <c r="AB315" i="5"/>
  <c r="AB314" i="5"/>
  <c r="AB313" i="5"/>
  <c r="AB312" i="5"/>
  <c r="AB311" i="5"/>
  <c r="AB310" i="5"/>
  <c r="AB309" i="5"/>
  <c r="AB308" i="5"/>
  <c r="AB307" i="5"/>
  <c r="AB306" i="5"/>
  <c r="AB305" i="5"/>
  <c r="AB304" i="5"/>
  <c r="AB303" i="5"/>
  <c r="AB302" i="5"/>
  <c r="AB301" i="5"/>
  <c r="AB300" i="5"/>
  <c r="AB299" i="5"/>
  <c r="AB298" i="5"/>
  <c r="AB297" i="5"/>
  <c r="AB296" i="5"/>
  <c r="AB295" i="5"/>
  <c r="AB294" i="5"/>
  <c r="AB293" i="5"/>
  <c r="AB292" i="5"/>
  <c r="AB291" i="5"/>
  <c r="AB290" i="5"/>
  <c r="AB289" i="5"/>
  <c r="AB288" i="5"/>
  <c r="AB287" i="5"/>
  <c r="AB286" i="5"/>
  <c r="AB285" i="5"/>
  <c r="AB284" i="5"/>
  <c r="AB283" i="5"/>
  <c r="AB282" i="5"/>
  <c r="AB281" i="5"/>
  <c r="AB280" i="5"/>
  <c r="AB279" i="5"/>
  <c r="AB278" i="5"/>
  <c r="AB277" i="5"/>
  <c r="AB276" i="5"/>
  <c r="AB275" i="5"/>
  <c r="AB274" i="5"/>
  <c r="AB273" i="5"/>
  <c r="AB272" i="5"/>
  <c r="AB271" i="5"/>
  <c r="AB270" i="5"/>
  <c r="AB269" i="5"/>
  <c r="AB268" i="5"/>
  <c r="AB267" i="5"/>
  <c r="AB266" i="5"/>
  <c r="AB265" i="5"/>
  <c r="AB264" i="5"/>
  <c r="AB263" i="5"/>
  <c r="AB262" i="5"/>
  <c r="AB261" i="5"/>
  <c r="AB260" i="5"/>
  <c r="AB259" i="5"/>
  <c r="AB258" i="5"/>
  <c r="AB257" i="5"/>
  <c r="AB256" i="5"/>
  <c r="AB255" i="5"/>
  <c r="AB254" i="5"/>
  <c r="AB253" i="5"/>
  <c r="AB252" i="5"/>
  <c r="AB251" i="5"/>
  <c r="AB250" i="5"/>
  <c r="AB249" i="5"/>
  <c r="AB248" i="5"/>
  <c r="AB247" i="5"/>
  <c r="AB246" i="5"/>
  <c r="AB245" i="5"/>
  <c r="AB244" i="5"/>
  <c r="AB243" i="5"/>
  <c r="AB242" i="5"/>
  <c r="AB241" i="5"/>
  <c r="AB240" i="5"/>
  <c r="AB239" i="5"/>
  <c r="AB238" i="5"/>
  <c r="AB237" i="5"/>
  <c r="AB236" i="5"/>
  <c r="AB235" i="5"/>
  <c r="AB234" i="5"/>
  <c r="AB233" i="5"/>
  <c r="AB232" i="5"/>
  <c r="AB231" i="5"/>
  <c r="AB230" i="5"/>
  <c r="AB229" i="5"/>
  <c r="AB228" i="5"/>
  <c r="AB227" i="5"/>
  <c r="AB226" i="5"/>
  <c r="AB225" i="5"/>
  <c r="AB224" i="5"/>
  <c r="AB223" i="5"/>
  <c r="AB222" i="5"/>
  <c r="AB221" i="5"/>
  <c r="AB220" i="5"/>
  <c r="AB219" i="5"/>
  <c r="AB218" i="5"/>
  <c r="AB217" i="5"/>
  <c r="AB216" i="5"/>
  <c r="AB215" i="5"/>
  <c r="AB214" i="5"/>
  <c r="AB213" i="5"/>
  <c r="AB212" i="5"/>
  <c r="AB211" i="5"/>
  <c r="AB210" i="5"/>
  <c r="AB209" i="5"/>
  <c r="AB208" i="5"/>
  <c r="AB207" i="5"/>
  <c r="AB206" i="5"/>
  <c r="AB205" i="5"/>
  <c r="AB204" i="5"/>
  <c r="AB203" i="5"/>
  <c r="AB202" i="5"/>
  <c r="AB201" i="5"/>
  <c r="AB200" i="5"/>
  <c r="AB199" i="5"/>
  <c r="AB198" i="5"/>
  <c r="AB197" i="5"/>
  <c r="AB196" i="5"/>
  <c r="AB195" i="5"/>
  <c r="AB194" i="5"/>
  <c r="AB193" i="5"/>
  <c r="AB192" i="5"/>
  <c r="AB191" i="5"/>
  <c r="AB190" i="5"/>
  <c r="AB189" i="5"/>
  <c r="AB188" i="5"/>
  <c r="AB187" i="5"/>
  <c r="AB186" i="5"/>
  <c r="AB185" i="5"/>
  <c r="AB184" i="5"/>
  <c r="AB183" i="5"/>
  <c r="AB182" i="5"/>
  <c r="AB181" i="5"/>
  <c r="AB180" i="5"/>
  <c r="AB179" i="5"/>
  <c r="AB178" i="5"/>
  <c r="AB177" i="5"/>
  <c r="AB176" i="5"/>
  <c r="AB175" i="5"/>
  <c r="AB174" i="5"/>
  <c r="AB173" i="5"/>
  <c r="AB172" i="5"/>
  <c r="AB171" i="5"/>
  <c r="AB170" i="5"/>
  <c r="AB169" i="5"/>
  <c r="AB168" i="5"/>
  <c r="AB167" i="5"/>
  <c r="AB166" i="5"/>
  <c r="AB165" i="5"/>
  <c r="AB164" i="5"/>
  <c r="AB163" i="5"/>
  <c r="AB162" i="5"/>
  <c r="AB161" i="5"/>
  <c r="AB160" i="5"/>
  <c r="AB159" i="5"/>
  <c r="AB158" i="5"/>
  <c r="AB157" i="5"/>
  <c r="AB156" i="5"/>
  <c r="AB155" i="5"/>
  <c r="AB154" i="5"/>
  <c r="AB153" i="5"/>
  <c r="AB152" i="5"/>
  <c r="AB151" i="5"/>
  <c r="AB150" i="5"/>
  <c r="AB149" i="5"/>
  <c r="AB148" i="5"/>
  <c r="AB147" i="5"/>
  <c r="AB146" i="5"/>
  <c r="AB145" i="5"/>
  <c r="AB144" i="5"/>
  <c r="AB143" i="5"/>
  <c r="AB142" i="5"/>
  <c r="AB141" i="5"/>
  <c r="AB140" i="5"/>
  <c r="AB139" i="5"/>
  <c r="AB138" i="5"/>
  <c r="AB137" i="5"/>
  <c r="AB136" i="5"/>
  <c r="AB135" i="5"/>
  <c r="AB134" i="5"/>
  <c r="AB133" i="5"/>
  <c r="AB132" i="5"/>
  <c r="AB131" i="5"/>
  <c r="AB130" i="5"/>
  <c r="AB129" i="5"/>
  <c r="AB128" i="5"/>
  <c r="AB127" i="5"/>
  <c r="AB126" i="5"/>
  <c r="AB125" i="5"/>
  <c r="AB124" i="5"/>
  <c r="AB123" i="5"/>
  <c r="AB122" i="5"/>
  <c r="AB121" i="5"/>
  <c r="AB120" i="5"/>
  <c r="AB119" i="5"/>
  <c r="AB118" i="5"/>
  <c r="AB117" i="5"/>
  <c r="AB116" i="5"/>
  <c r="AB115" i="5"/>
  <c r="AB114" i="5"/>
  <c r="AB113" i="5"/>
  <c r="AB112" i="5"/>
  <c r="AB111" i="5"/>
  <c r="AB110" i="5"/>
  <c r="AB109" i="5"/>
  <c r="AB108" i="5"/>
  <c r="AB107" i="5"/>
  <c r="AB106" i="5"/>
  <c r="AB105" i="5"/>
  <c r="AB104" i="5"/>
  <c r="AB103" i="5"/>
  <c r="AB102" i="5"/>
  <c r="AB101" i="5"/>
  <c r="AB100" i="5"/>
  <c r="AB99" i="5"/>
  <c r="AB98" i="5"/>
  <c r="AB97" i="5"/>
  <c r="AB96" i="5"/>
  <c r="AB95" i="5"/>
  <c r="AB94" i="5"/>
  <c r="AB93" i="5"/>
  <c r="AB92" i="5"/>
  <c r="AB91" i="5"/>
  <c r="AB90" i="5"/>
  <c r="AB89" i="5"/>
  <c r="AB88" i="5"/>
  <c r="AB87" i="5"/>
  <c r="AB86" i="5"/>
  <c r="AB85" i="5"/>
  <c r="AB84" i="5"/>
  <c r="AB83" i="5"/>
  <c r="AB82" i="5"/>
  <c r="AB81" i="5"/>
  <c r="AB80" i="5"/>
  <c r="AB79" i="5"/>
  <c r="AB78" i="5"/>
  <c r="AB77" i="5"/>
  <c r="AB76" i="5"/>
  <c r="AB75" i="5"/>
  <c r="AB74" i="5"/>
  <c r="AB73" i="5"/>
  <c r="AB72" i="5"/>
  <c r="AB71" i="5"/>
  <c r="AB70" i="5"/>
  <c r="AB69" i="5"/>
  <c r="AB68" i="5"/>
  <c r="AB67" i="5"/>
  <c r="AB66" i="5"/>
  <c r="AB65" i="5"/>
  <c r="AB64" i="5"/>
  <c r="AB63" i="5"/>
  <c r="AB62" i="5"/>
  <c r="AB61" i="5"/>
  <c r="AB60" i="5"/>
  <c r="AB59" i="5"/>
  <c r="AB58" i="5"/>
  <c r="AB57" i="5"/>
  <c r="AB56" i="5"/>
  <c r="AB55" i="5"/>
  <c r="AB54" i="5"/>
  <c r="AB53" i="5"/>
  <c r="AB52" i="5"/>
  <c r="AB51" i="5"/>
  <c r="AB50" i="5"/>
  <c r="AB49" i="5"/>
  <c r="AB48" i="5"/>
  <c r="AB47" i="5"/>
  <c r="AB46" i="5"/>
  <c r="AB45" i="5"/>
  <c r="AB44" i="5"/>
  <c r="AB43" i="5"/>
  <c r="AB42" i="5"/>
  <c r="AB41" i="5"/>
  <c r="AB40"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AB8" i="5"/>
  <c r="AB7" i="5"/>
  <c r="AB6" i="5"/>
  <c r="AB5" i="5"/>
  <c r="AB4" i="5"/>
  <c r="AB3" i="5"/>
  <c r="A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長尾博文</author>
    <author>長尾 博文</author>
  </authors>
  <commentList>
    <comment ref="W2" authorId="0" shapeId="0" xr:uid="{BAB05205-E70A-714B-A1BC-06667E490DC4}">
      <text>
        <r>
          <rPr>
            <b/>
            <sz val="10"/>
            <color rgb="FF000000"/>
            <rFont val="Yu Gothic UI"/>
          </rPr>
          <t>W1</t>
        </r>
        <r>
          <rPr>
            <b/>
            <sz val="10"/>
            <color rgb="FF000000"/>
            <rFont val="Yu Gothic UI"/>
          </rPr>
          <t>の共通前提（</t>
        </r>
        <r>
          <rPr>
            <b/>
            <sz val="10"/>
            <color rgb="FF000000"/>
            <rFont val="Yu Gothic UI"/>
          </rPr>
          <t>EvaluationContext</t>
        </r>
        <r>
          <rPr>
            <b/>
            <sz val="10"/>
            <color rgb="FF000000"/>
            <rFont val="Yu Gothic UI"/>
          </rPr>
          <t>構築済み・除外条件適用済み）に従う処理フロー。</t>
        </r>
      </text>
    </comment>
    <comment ref="N8" authorId="1" shapeId="0" xr:uid="{F86ED42B-5893-41F0-A92A-798C4792F647}">
      <text>
        <r>
          <rPr>
            <b/>
            <sz val="9"/>
            <color rgb="FF000000"/>
            <rFont val="MS P ゴシック"/>
            <charset val="128"/>
          </rPr>
          <t>腹囲の測定値有無チェック。実測</t>
        </r>
        <r>
          <rPr>
            <b/>
            <sz val="9"/>
            <color rgb="FF000000"/>
            <rFont val="MS P ゴシック"/>
            <charset val="128"/>
          </rPr>
          <t>(9N016)→</t>
        </r>
        <r>
          <rPr>
            <b/>
            <sz val="9"/>
            <color rgb="FF000000"/>
            <rFont val="MS P ゴシック"/>
            <charset val="128"/>
          </rPr>
          <t>自己測定</t>
        </r>
        <r>
          <rPr>
            <b/>
            <sz val="9"/>
            <color rgb="FF000000"/>
            <rFont val="MS P ゴシック"/>
            <charset val="128"/>
          </rPr>
          <t>(9N016 1608)</t>
        </r>
        <r>
          <rPr>
            <b/>
            <sz val="9"/>
            <color rgb="FF000000"/>
            <rFont val="MS P ゴシック"/>
            <charset val="128"/>
          </rPr>
          <t>の優先順位で判定。自己測定コードの</t>
        </r>
        <r>
          <rPr>
            <b/>
            <sz val="9"/>
            <color rgb="FF000000"/>
            <rFont val="MS P ゴシック"/>
            <charset val="128"/>
          </rPr>
          <t>1608</t>
        </r>
        <r>
          <rPr>
            <b/>
            <sz val="9"/>
            <color rgb="FF000000"/>
            <rFont val="MS P ゴシック"/>
            <charset val="128"/>
          </rPr>
          <t>修飾は</t>
        </r>
        <r>
          <rPr>
            <b/>
            <sz val="9"/>
            <color rgb="FF000000"/>
            <rFont val="MS P ゴシック"/>
            <charset val="128"/>
          </rPr>
          <t>N4/N5</t>
        </r>
        <r>
          <rPr>
            <b/>
            <sz val="9"/>
            <color rgb="FF000000"/>
            <rFont val="MS P ゴシック"/>
            <charset val="128"/>
          </rPr>
          <t>と同様の特定健診修飾コードに基づく推定。実運用コードは要確認。</t>
        </r>
      </text>
    </comment>
    <comment ref="U20" authorId="0" shapeId="0" xr:uid="{0DA8599F-1977-C446-9769-78015B2B46F7}">
      <text>
        <r>
          <rPr>
            <b/>
            <sz val="10"/>
            <color rgb="FF000000"/>
            <rFont val="Yu Gothic UI"/>
          </rPr>
          <t>長尾博文</t>
        </r>
        <r>
          <rPr>
            <b/>
            <sz val="10"/>
            <color rgb="FF000000"/>
            <rFont val="Yu Gothic UI"/>
          </rPr>
          <t>:</t>
        </r>
        <r>
          <rPr>
            <sz val="10"/>
            <color rgb="FF000000"/>
            <rFont val="Yu Gothic UI"/>
          </rPr>
          <t xml:space="preserve">
</t>
        </r>
        <r>
          <rPr>
            <sz val="10"/>
            <color rgb="FF000000"/>
            <rFont val="Yu Gothic UI"/>
          </rPr>
          <t>N20</t>
        </r>
        <r>
          <rPr>
            <sz val="10"/>
            <color rgb="FF000000"/>
            <rFont val="Yu Gothic UI"/>
          </rPr>
          <t>で「対象外</t>
        </r>
        <r>
          <rPr>
            <sz val="10"/>
            <color rgb="FF000000"/>
            <rFont val="Yu Gothic UI"/>
          </rPr>
          <t>:method</t>
        </r>
        <r>
          <rPr>
            <sz val="10"/>
            <color rgb="FF000000"/>
            <rFont val="Yu Gothic UI"/>
          </rPr>
          <t>」と明示。付属</t>
        </r>
        <r>
          <rPr>
            <sz val="10"/>
            <color rgb="FF000000"/>
            <rFont val="Yu Gothic UI"/>
          </rPr>
          <t>2</t>
        </r>
        <r>
          <rPr>
            <sz val="10"/>
            <color rgb="FF000000"/>
            <rFont val="Yu Gothic UI"/>
          </rPr>
          <t>の</t>
        </r>
        <r>
          <rPr>
            <sz val="10"/>
            <color rgb="FF000000"/>
            <rFont val="Yu Gothic UI"/>
          </rPr>
          <t>XML</t>
        </r>
        <r>
          <rPr>
            <sz val="10"/>
            <color rgb="FF000000"/>
            <rFont val="Yu Gothic UI"/>
          </rPr>
          <t>検査方法コードで確認済み。</t>
        </r>
      </text>
    </comment>
    <comment ref="V20" authorId="0" shapeId="0" xr:uid="{1B41AE31-DD0C-8441-AD58-DC78D63C9F66}">
      <text>
        <r>
          <rPr>
            <b/>
            <sz val="10"/>
            <color rgb="FF000000"/>
            <rFont val="Yu Gothic UI"/>
          </rPr>
          <t>長尾博文:</t>
        </r>
        <r>
          <rPr>
            <sz val="10"/>
            <color rgb="FF000000"/>
            <rFont val="Yu Gothic UI"/>
          </rPr>
          <t xml:space="preserve">
N20の対象外method 3F07740009に対応する付属2の項目コード（namecode）。</t>
        </r>
      </text>
    </comment>
  </commentList>
</comments>
</file>

<file path=xl/sharedStrings.xml><?xml version="1.0" encoding="utf-8"?>
<sst xmlns="http://schemas.openxmlformats.org/spreadsheetml/2006/main" count="4547" uniqueCount="1558">
  <si>
    <t>労働安全衛生法（労安法）に基づく一般健康診断　検査項目 対応表</t>
  </si>
  <si>
    <t>凡例）●＝実施（義務・原則省略不可）　／　○＝実施（一定条件下で医師の判断により省略・代替が可能）　／　△＝実施（省略＋実施頻度の特例あり。注記参照）　／　－＝当該健診の項目に含まれない</t>
  </si>
  <si>
    <t>No.</t>
  </si>
  <si>
    <t>検査項目</t>
  </si>
  <si>
    <t>雇入時健診
(則43条)</t>
  </si>
  <si>
    <t>定期健診
(則44条)</t>
  </si>
  <si>
    <t>特定業務従事者
健診(則45条)</t>
  </si>
  <si>
    <t>省略・代替の主な条件</t>
  </si>
  <si>
    <t>主な参照条項</t>
  </si>
  <si>
    <t>1</t>
  </si>
  <si>
    <t>既往歴及び業務歴の調査</t>
  </si>
  <si>
    <t>●</t>
  </si>
  <si>
    <t>省略規定なし</t>
  </si>
  <si>
    <t>則43①一／44①一／45①</t>
  </si>
  <si>
    <t>2</t>
  </si>
  <si>
    <t>自覚症状及び他覚症状の有無の検査</t>
  </si>
  <si>
    <t>則43①二／44①二／45①</t>
  </si>
  <si>
    <t>3-1</t>
  </si>
  <si>
    <t>身長</t>
  </si>
  <si>
    <t>○</t>
  </si>
  <si>
    <t>定期・特定業務：20歳以上は省略可</t>
  </si>
  <si>
    <t>則44①三・44②・告示</t>
  </si>
  <si>
    <t>3-2</t>
  </si>
  <si>
    <t>体重</t>
  </si>
  <si>
    <t>則43①三／44①三／45①</t>
  </si>
  <si>
    <t>3-3</t>
  </si>
  <si>
    <t>腹囲</t>
  </si>
  <si>
    <t>定期・特定業務：①40歳未満(35歳を除く) ②妊娠中の女性等で腹囲が内臓脂肪蓄積を反映しないと診断 ③BMI&lt;20 ④BMI&lt;22かつ自己申告　のいずれかで省略可</t>
  </si>
  <si>
    <t>3-4</t>
  </si>
  <si>
    <t>視力</t>
  </si>
  <si>
    <t>3-5</t>
  </si>
  <si>
    <t>聴力(1000Hz・4000Hz)</t>
  </si>
  <si>
    <t>定期・特定業務：45歳未満(35歳・40歳を除く)は医師が適当と認める聴力検査に代替可（雇入時の代替可否は労働局運用資料を確認）</t>
  </si>
  <si>
    <t>則44④（44①三）</t>
  </si>
  <si>
    <t>4-1</t>
  </si>
  <si>
    <t>胸部エックス線検査</t>
  </si>
  <si>
    <t>△</t>
  </si>
  <si>
    <t>定期：40歳未満(20・25・30・35歳を除く)で、感染症法の結核定期健診対象施設等・じん肺法対象のいずれにも該当しない者は省略可。／特定業務：1年以内ごとに1回で足りる</t>
  </si>
  <si>
    <t>則43①四／44①四・44②・告示／45①但書</t>
  </si>
  <si>
    <t>4-2</t>
  </si>
  <si>
    <t>喀痰検査</t>
  </si>
  <si>
    <t>－</t>
  </si>
  <si>
    <t>雇入時は項目に含まれない。／定期・特定業務：胸部X線で病変所見なし・結核発病のおそれなしと診断された者、及び胸部X線を省略した者は省略可。特定業務は1年以内ごとに1回で足りる</t>
  </si>
  <si>
    <t>則44①四・44②・告示／45①但書</t>
  </si>
  <si>
    <t>5</t>
  </si>
  <si>
    <t>血圧の測定</t>
  </si>
  <si>
    <t>則43①五／44①五／45①</t>
  </si>
  <si>
    <t>6</t>
  </si>
  <si>
    <t>貧血検査(血色素量・赤血球数)</t>
  </si>
  <si>
    <t>定期・特定業務：40歳未満(35歳を除く)は医師の判断で省略可。特定業務は前回健診で受けた者も医師の判断で省略可</t>
  </si>
  <si>
    <t>則44①六・44②・告示／45②</t>
  </si>
  <si>
    <t>7</t>
  </si>
  <si>
    <t>肝機能検査(AST・ALT・γ-GT)</t>
  </si>
  <si>
    <t>則44①七・44②・告示／45②</t>
  </si>
  <si>
    <t>8</t>
  </si>
  <si>
    <t>血中脂質検査(LDL・HDL・TG)</t>
  </si>
  <si>
    <t>則44①八・44②・告示／45②</t>
  </si>
  <si>
    <t>9</t>
  </si>
  <si>
    <t>血糖検査(空腹時血糖・随時血糖・HbA1cのいずれか)</t>
  </si>
  <si>
    <t>定期・特定業務：40歳未満(35歳を除く)は医師の判断で省略可。特定業務は前回健診で受けた者も医師の判断で省略可。〔検査方法は下部の注記を参照〕</t>
  </si>
  <si>
    <t>則44①九・44②・告示／45②・基発1223-7</t>
  </si>
  <si>
    <t>10</t>
  </si>
  <si>
    <t>尿検査(尿中の糖及び蛋白の有無)</t>
  </si>
  <si>
    <t>則43①十／44①十／45①</t>
  </si>
  <si>
    <t>11</t>
  </si>
  <si>
    <t>心電図検査</t>
  </si>
  <si>
    <t>則44①十一・44②・告示／45②</t>
  </si>
  <si>
    <t>【注記】</t>
  </si>
  <si>
    <t>・雇入時健診(則43条)には年齢等による省略規定はない。ただし、雇入れ前3か月以内に医師の健診を受け、その結果を証明する書面を提出した場合は相当項目を省略できる(則43条ただし書)。</t>
  </si>
  <si>
    <t>・特定業務従事者健診(則45条)は、則13条1項2号の特定業務（深夜業を含む）に常時従事する者が対象。配置替えの際及び6か月以内ごとに1回実施し、胸部エックス線・喀痰検査(4号)は1年以内ごとに1回で足りる。前回の健診で貧血・肝機能・血中脂質・血糖・心電図を受けた者は医師の判断で省略できる(則45条2項)。</t>
  </si>
  <si>
    <t>・「告示」＝労働安全衛生規則第44条第2項の規定に基づき厚生労働大臣が定める基準を定める告示。省略の可否は年齢等で機械的に決まるものではなく、自覚・他覚症状、既往歴、経時的変化等を勘案して医師が個々の労働者ごとに判断する（平成29年8月4日 基発0804第4号）。</t>
  </si>
  <si>
    <t>・本表は一般健康診断（則43・44・45条）を対象とする。特殊健康診断、歯科医師による健診、給食業務従事者の検便(則47条)、高度プロフェッショナル制度の臨時健診等は含まない。</t>
  </si>
  <si>
    <t>・本表は参照用にまとめたものであり、公的に確定した一覧そのものではない。実際の運用・省略判断は産業医等の医師の判断によること。最新の改正の有無は必ず一次資料（参照元シート）で確認すること。</t>
  </si>
  <si>
    <t>定期健康診断における省略・代替の基準（則44条2項・4項／告示）</t>
  </si>
  <si>
    <t>省略・代替できる者（要件）</t>
  </si>
  <si>
    <t>取扱い</t>
  </si>
  <si>
    <t>参照条項</t>
  </si>
  <si>
    <t>20歳以上の者</t>
  </si>
  <si>
    <t>省略可</t>
  </si>
  <si>
    <t>則44②・告示</t>
  </si>
  <si>
    <t>①40歳未満(35歳を除く)の者　②妊娠中の女性その他で腹囲が内臓脂肪の蓄積を反映しないと診断された者　③BMIが20未満の者　④BMIが22未満で自ら腹囲を測定・申告した者</t>
  </si>
  <si>
    <t>45歳未満の者(35歳・40歳を除く)</t>
  </si>
  <si>
    <t>医師が適当と認める聴力検査に代替可</t>
  </si>
  <si>
    <t>則44④</t>
  </si>
  <si>
    <t>40歳未満(20・25・30・35歳を除く)の者で、次のいずれにも該当しない者：・感染症法で結核に係る定期健診の対象施設等で働く者・じん肺法で3年に1回のじん肺健診の対象者</t>
  </si>
  <si>
    <t>①胸部X線検査で病変が発見されない、又は結核発病のおそれがないと診断された者　②胸部X線検査を省略された者</t>
  </si>
  <si>
    <t>貧血・肝機能・血中脂質・血糖・心電図</t>
  </si>
  <si>
    <t>40歳未満(35歳を除く)の者について、医師が必要でないと認めるとき</t>
  </si>
  <si>
    <t>(特定業務従事者)貧血・肝機能・血中脂質・血糖・心電図</t>
  </si>
  <si>
    <t>前回の健診で当該項目を受けた者について、医師が必要でないと認めるとき</t>
  </si>
  <si>
    <t>則45②</t>
  </si>
  <si>
    <t>※「医師が必要でないと認める」とは、自覚・他覚症状や既往歴等を勘案し医師が総合的に判断することをいい、年齢等により機械的に決まるものではない（厚労省リーフレット／基発0804第4号）。</t>
  </si>
  <si>
    <t>参照元・出典一覧</t>
  </si>
  <si>
    <t>区分</t>
  </si>
  <si>
    <t>名称</t>
  </si>
  <si>
    <t>内容・備考</t>
  </si>
  <si>
    <t>所在／URL</t>
  </si>
  <si>
    <t>法令</t>
  </si>
  <si>
    <t>労働安全衛生規則（昭和47年労働省令第32号）第43条・第44条・第45条・第45条の2</t>
  </si>
  <si>
    <t>雇入時／定期／特定業務従事者／海外派遣の各健診項目と省略規定を定める本体規定</t>
  </si>
  <si>
    <t>e-Gov法令検索「労働安全衛生規則」で条文を確認</t>
  </si>
  <si>
    <t>告示</t>
  </si>
  <si>
    <t>労働安全衛生規則第44条第2項の規定に基づき厚生労働大臣が定める基準を定める告示</t>
  </si>
  <si>
    <t>定期健診の各項目を省略できる者（年齢・BMI・施設要件等）の基準を定める</t>
  </si>
  <si>
    <t>厚労省／e-Gov法令検索</t>
  </si>
  <si>
    <t>通達</t>
  </si>
  <si>
    <t>平成29年8月4日 基発0804第4号</t>
  </si>
  <si>
    <t>省略は一律でなく医師が個々に判断すべき旨の留意事項</t>
  </si>
  <si>
    <t>厚生労働省労働基準局</t>
  </si>
  <si>
    <t>定期健康診断等における血糖検査の取扱いについて（令和2年12月23日 基発1223第7号）</t>
  </si>
  <si>
    <t>血糖検査の方法を規定。空腹時血糖・随時血糖・HbA1cのいずれかで可。HbA1c非測定で随時血糖の場合は食直後(食事開始から3.5時間未満)を除く。特定健診との整合を図ったもの</t>
  </si>
  <si>
    <t>安全衛生情報センター https://www.jaish.gr.jp/anzen/hor/hombun/hor1-61/hor1-61-44-1-0.htm （厚労省・各労働局でも公表）</t>
  </si>
  <si>
    <t>リーフレット</t>
  </si>
  <si>
    <t>労働安全衛生法に基づく 健康診断を実施しましょう ～労働者の健康確保のために～</t>
  </si>
  <si>
    <t>健診の種類・対象・時期・項目・省略基準を表形式で解説。実務での俯瞰に最適</t>
  </si>
  <si>
    <t>https://www.mhlw.go.jp/file/06-Seisakujouhou-11200000-Roudoukijunkyoku/0000103900.pdf</t>
  </si>
  <si>
    <t>法律</t>
  </si>
  <si>
    <t>労働安全衛生法 第66条</t>
  </si>
  <si>
    <t>事業者の健康診断実施義務の根拠規定（罰則付き）</t>
  </si>
  <si>
    <t>e-Gov法令検索「労働安全衛生法」</t>
  </si>
  <si>
    <t>連携通知</t>
  </si>
  <si>
    <t>定期健康診断等及び特定健康診査等の実施に係る事業者と保険者の連携・協力事項について（令和8年4月28日 基発0428第14号 保発0428第8号）</t>
  </si>
  <si>
    <t>労安法の一般健診と特定健診の相互利用・データ連携に関する取扱い</t>
  </si>
  <si>
    <t>厚生労働省（特定健診・特定保健指導のページ）</t>
  </si>
  <si>
    <t>※URLは作成時点(2026年)のもの。厚労省サイトの改定でリンク先が変わる場合があるため、最新版は各名称で検索して確認すること。特定健診の電子的標準様式の「法定」欄は労安法判定の一次資料ではない点に留意（一次資料は上記の則43/44/45条・告示・リーフレット）。</t>
  </si>
  <si>
    <t>既往歴</t>
    <rPh sb="0" eb="3">
      <t>キオウレキ</t>
    </rPh>
    <phoneticPr fontId="7"/>
  </si>
  <si>
    <t>業務歴</t>
    <rPh sb="0" eb="3">
      <t>ギョウムレキ</t>
    </rPh>
    <phoneticPr fontId="7"/>
  </si>
  <si>
    <t>自覚症状</t>
    <rPh sb="0" eb="4">
      <t>ジカクショウジョウ</t>
    </rPh>
    <phoneticPr fontId="7"/>
  </si>
  <si>
    <t>他覚症状</t>
    <rPh sb="0" eb="4">
      <t>タカクショウジョウ</t>
    </rPh>
    <phoneticPr fontId="7"/>
  </si>
  <si>
    <t>身長</t>
    <rPh sb="0" eb="2">
      <t>シンチョウ</t>
    </rPh>
    <phoneticPr fontId="7"/>
  </si>
  <si>
    <t>体重</t>
    <rPh sb="0" eb="2">
      <t>タイジュウ</t>
    </rPh>
    <phoneticPr fontId="7"/>
  </si>
  <si>
    <t>腹囲</t>
    <rPh sb="0" eb="2">
      <t>フクイ</t>
    </rPh>
    <phoneticPr fontId="7"/>
  </si>
  <si>
    <t>視力</t>
    <rPh sb="0" eb="2">
      <t>シリョク</t>
    </rPh>
    <phoneticPr fontId="7"/>
  </si>
  <si>
    <t>聴力</t>
    <rPh sb="0" eb="2">
      <t>チョウリョク</t>
    </rPh>
    <phoneticPr fontId="7"/>
  </si>
  <si>
    <t>胸部X線</t>
    <rPh sb="0" eb="2">
      <t>キョウブ</t>
    </rPh>
    <rPh sb="3" eb="4">
      <t>セン</t>
    </rPh>
    <phoneticPr fontId="7"/>
  </si>
  <si>
    <t>血色素量（ヘモグロビン）</t>
    <rPh sb="0" eb="4">
      <t>ケッショクソリョウ</t>
    </rPh>
    <phoneticPr fontId="7"/>
  </si>
  <si>
    <t>赤血球数</t>
    <rPh sb="0" eb="4">
      <t>セッケッキュウスウ</t>
    </rPh>
    <phoneticPr fontId="7"/>
  </si>
  <si>
    <t>AST</t>
    <phoneticPr fontId="7"/>
  </si>
  <si>
    <t>ALT</t>
    <phoneticPr fontId="7"/>
  </si>
  <si>
    <t>γ-GT</t>
    <phoneticPr fontId="7"/>
  </si>
  <si>
    <t>LDL</t>
    <phoneticPr fontId="7"/>
  </si>
  <si>
    <t>HDL</t>
    <phoneticPr fontId="7"/>
  </si>
  <si>
    <t>TG</t>
    <phoneticPr fontId="7"/>
  </si>
  <si>
    <t>尿糖</t>
    <rPh sb="0" eb="2">
      <t>ニョウトウ</t>
    </rPh>
    <phoneticPr fontId="7"/>
  </si>
  <si>
    <t>尿蛋白</t>
    <rPh sb="0" eb="3">
      <t>ニョウタンパク</t>
    </rPh>
    <phoneticPr fontId="7"/>
  </si>
  <si>
    <t>心電図</t>
    <rPh sb="0" eb="3">
      <t>シンデンズ</t>
    </rPh>
    <phoneticPr fontId="7"/>
  </si>
  <si>
    <t>血糖</t>
    <rPh sb="0" eb="2">
      <t>ケットウ</t>
    </rPh>
    <phoneticPr fontId="7"/>
  </si>
  <si>
    <t>喀痰</t>
    <rPh sb="0" eb="2">
      <t>カクタン</t>
    </rPh>
    <phoneticPr fontId="7"/>
  </si>
  <si>
    <t>システム設定での必須</t>
    <rPh sb="4" eb="6">
      <t>セッテイ</t>
    </rPh>
    <rPh sb="8" eb="10">
      <t>ヒッス</t>
    </rPh>
    <phoneticPr fontId="7"/>
  </si>
  <si>
    <t>必須</t>
    <rPh sb="0" eb="2">
      <t>ヒッス</t>
    </rPh>
    <phoneticPr fontId="7"/>
  </si>
  <si>
    <t>任意</t>
    <rPh sb="0" eb="2">
      <t>ニンイ</t>
    </rPh>
    <phoneticPr fontId="7"/>
  </si>
  <si>
    <t>システム設定での内容</t>
    <rPh sb="4" eb="6">
      <t>セッテイ</t>
    </rPh>
    <rPh sb="8" eb="10">
      <t>ナイヨウ</t>
    </rPh>
    <phoneticPr fontId="7"/>
  </si>
  <si>
    <t>基本的に事業所より求められる、体測は基本測定する為</t>
    <rPh sb="0" eb="3">
      <t>キホンテキ</t>
    </rPh>
    <rPh sb="4" eb="7">
      <t>ジギョウショ</t>
    </rPh>
    <rPh sb="9" eb="10">
      <t>モト</t>
    </rPh>
    <rPh sb="15" eb="17">
      <t>タイソク</t>
    </rPh>
    <rPh sb="18" eb="20">
      <t>キホン</t>
    </rPh>
    <rPh sb="20" eb="22">
      <t>ソクテイ</t>
    </rPh>
    <rPh sb="24" eb="25">
      <t>タメ</t>
    </rPh>
    <phoneticPr fontId="7"/>
  </si>
  <si>
    <t>条件つき任意</t>
    <rPh sb="0" eb="2">
      <t>ジョウケン</t>
    </rPh>
    <rPh sb="4" eb="6">
      <t>ニンイ</t>
    </rPh>
    <phoneticPr fontId="7"/>
  </si>
  <si>
    <t>省略の②以外はアラート</t>
    <rPh sb="0" eb="2">
      <t>ショウリャク</t>
    </rPh>
    <rPh sb="4" eb="6">
      <t>イガイ</t>
    </rPh>
    <phoneticPr fontId="7"/>
  </si>
  <si>
    <t>医師が適当と認めるものが不明の為必須で対応</t>
    <rPh sb="0" eb="2">
      <t>イシ</t>
    </rPh>
    <rPh sb="3" eb="5">
      <t>テキトウ</t>
    </rPh>
    <rPh sb="6" eb="7">
      <t>ミト</t>
    </rPh>
    <rPh sb="12" eb="14">
      <t>フメイ</t>
    </rPh>
    <rPh sb="15" eb="16">
      <t>タメ</t>
    </rPh>
    <rPh sb="16" eb="18">
      <t>ヒッス</t>
    </rPh>
    <rPh sb="19" eb="21">
      <t>タイオウ</t>
    </rPh>
    <phoneticPr fontId="7"/>
  </si>
  <si>
    <t>年齢で任意</t>
    <rPh sb="0" eb="2">
      <t>ネンレイ</t>
    </rPh>
    <rPh sb="3" eb="5">
      <t>ニンイ</t>
    </rPh>
    <phoneticPr fontId="7"/>
  </si>
  <si>
    <t>求められる条件が特定の場合のみなのでシステムでのチェックは任意</t>
    <rPh sb="0" eb="1">
      <t>モト</t>
    </rPh>
    <rPh sb="5" eb="7">
      <t>ジョウケン</t>
    </rPh>
    <rPh sb="8" eb="10">
      <t>トクテイ</t>
    </rPh>
    <rPh sb="11" eb="13">
      <t>バアイ</t>
    </rPh>
    <rPh sb="29" eb="31">
      <t>ニンイ</t>
    </rPh>
    <phoneticPr fontId="7"/>
  </si>
  <si>
    <t>基本的に事業所より求められる為必須</t>
    <rPh sb="0" eb="3">
      <t>キホンテキ</t>
    </rPh>
    <rPh sb="4" eb="7">
      <t>ジギョウショ</t>
    </rPh>
    <rPh sb="9" eb="10">
      <t>モト</t>
    </rPh>
    <rPh sb="14" eb="15">
      <t>タメ</t>
    </rPh>
    <rPh sb="15" eb="17">
      <t>ヒッス</t>
    </rPh>
    <phoneticPr fontId="7"/>
  </si>
  <si>
    <t>収縮期血圧</t>
    <rPh sb="0" eb="5">
      <t>シュウシュクキケツアツ</t>
    </rPh>
    <phoneticPr fontId="7"/>
  </si>
  <si>
    <t>拡張期血圧</t>
    <rPh sb="0" eb="3">
      <t>カクチョウキ</t>
    </rPh>
    <rPh sb="3" eb="5">
      <t>ケツアツ</t>
    </rPh>
    <phoneticPr fontId="7"/>
  </si>
  <si>
    <t>指定年齢必須（年齢は「|」で区切る）（必須と書いてあるがアラート、ない場合に年齢的にはどうなのか？を表現する）</t>
    <rPh sb="0" eb="2">
      <t>シテイ</t>
    </rPh>
    <rPh sb="2" eb="4">
      <t>ネンレイ</t>
    </rPh>
    <rPh sb="4" eb="6">
      <t>ヒッス</t>
    </rPh>
    <rPh sb="7" eb="9">
      <t>ネンレイ</t>
    </rPh>
    <rPh sb="14" eb="16">
      <t>クギ</t>
    </rPh>
    <rPh sb="50" eb="52">
      <t>ヒョウゲン</t>
    </rPh>
    <phoneticPr fontId="7"/>
  </si>
  <si>
    <t>n歳以上必須（必須と書いてあるがアラート、ない場合に年齢的にはどうなのか？を表現する）</t>
    <rPh sb="1" eb="2">
      <t>サイ</t>
    </rPh>
    <rPh sb="2" eb="4">
      <t>イジョウ</t>
    </rPh>
    <rPh sb="4" eb="6">
      <t>ヒッス</t>
    </rPh>
    <rPh sb="7" eb="9">
      <t>ヒッス</t>
    </rPh>
    <rPh sb="10" eb="11">
      <t>カ</t>
    </rPh>
    <rPh sb="23" eb="25">
      <t>バアイ</t>
    </rPh>
    <rPh sb="26" eb="28">
      <t>ネンレイ</t>
    </rPh>
    <rPh sb="28" eb="29">
      <t>テキ</t>
    </rPh>
    <rPh sb="38" eb="40">
      <t>ヒョウゲン</t>
    </rPh>
    <phoneticPr fontId="7"/>
  </si>
  <si>
    <t>35|40</t>
    <phoneticPr fontId="7"/>
  </si>
  <si>
    <t>20|25|30|35</t>
    <phoneticPr fontId="7"/>
  </si>
  <si>
    <t>数値による必須</t>
    <rPh sb="0" eb="2">
      <t>スウチ</t>
    </rPh>
    <rPh sb="5" eb="7">
      <t>ヒッス</t>
    </rPh>
    <phoneticPr fontId="7"/>
  </si>
  <si>
    <t>BMI&gt;=20|</t>
    <phoneticPr fontId="7"/>
  </si>
  <si>
    <t>値で判断できない項目</t>
    <rPh sb="0" eb="1">
      <t>アタイ</t>
    </rPh>
    <rPh sb="2" eb="4">
      <t>ハンダン</t>
    </rPh>
    <rPh sb="8" eb="10">
      <t>コウモク</t>
    </rPh>
    <phoneticPr fontId="7"/>
  </si>
  <si>
    <t>妊娠中</t>
    <rPh sb="0" eb="3">
      <t>ニンシンチュウ</t>
    </rPh>
    <phoneticPr fontId="7"/>
  </si>
  <si>
    <t>業務歴は結果での登録が少ない為必須チェックからは除くSTだから書くことがなければnullになるから判定困難</t>
    <rPh sb="0" eb="3">
      <t>ギョウムレキ</t>
    </rPh>
    <rPh sb="4" eb="6">
      <t>ケッカ</t>
    </rPh>
    <rPh sb="8" eb="10">
      <t>トウロク</t>
    </rPh>
    <rPh sb="11" eb="12">
      <t>スク</t>
    </rPh>
    <rPh sb="14" eb="15">
      <t>タメ</t>
    </rPh>
    <rPh sb="15" eb="17">
      <t>ヒッス</t>
    </rPh>
    <rPh sb="24" eb="25">
      <t>ノゾ</t>
    </rPh>
    <rPh sb="31" eb="32">
      <t>カ</t>
    </rPh>
    <rPh sb="49" eb="51">
      <t>ハンテイ</t>
    </rPh>
    <rPh sb="51" eb="53">
      <t>コンナン</t>
    </rPh>
    <phoneticPr fontId="7"/>
  </si>
  <si>
    <t>Any:method:9N06100000
CD=1:namecode:9N061160800000049(ST)がNULL⇒NG
CD=2⇒OK</t>
    <phoneticPr fontId="7"/>
  </si>
  <si>
    <t>Any:method:9N05600000
CD=1:namecode:9N056160400000049(ST)がNULL⇒NG
CD=2⇒OK</t>
    <phoneticPr fontId="7"/>
  </si>
  <si>
    <t>Any:method:9N06600000
CD=1:namecode:9N066160800000049(ST)がNULL⇒NG
CD=2⇒OK</t>
    <phoneticPr fontId="7"/>
  </si>
  <si>
    <t>Any:identity:9N001</t>
    <phoneticPr fontId="7"/>
  </si>
  <si>
    <t>Any:identity:9N006</t>
    <phoneticPr fontId="7"/>
  </si>
  <si>
    <t>以下の視力右 and 視力左 どちらも入っていればOK
視力右:Any:method:9E16016210 or 9E16016250
視力左:Any:method:9E16016220 or 9E16016260</t>
    <phoneticPr fontId="7"/>
  </si>
  <si>
    <t>All:method:9D10016310,9D10016320,9D10016350,9D10016360
ない場合:method:9D10016090もなかった場合missing、あった場合warning</t>
    <rPh sb="57" eb="59">
      <t>バアイ</t>
    </rPh>
    <rPh sb="82" eb="84">
      <t>バアイ</t>
    </rPh>
    <rPh sb="95" eb="97">
      <t>バアイ</t>
    </rPh>
    <phoneticPr fontId="7"/>
  </si>
  <si>
    <t>any:method:9N20100000,9N21600000
どちらもなかった場合
method:9N20616070=2ならOK,1でかつmethod9N20616080がnullじゃなければOK,3ならwarning
もしくはmethod:9N22116070=2ならOK,1でかつmethod:9N22116080がnullじゃなければOK,3ならwarning
それ以外はNG</t>
    <rPh sb="41" eb="43">
      <t>バアイ</t>
    </rPh>
    <rPh sb="189" eb="191">
      <t>イガイ</t>
    </rPh>
    <phoneticPr fontId="7"/>
  </si>
  <si>
    <t>任意なのでなし</t>
    <rPh sb="0" eb="2">
      <t>ニn</t>
    </rPh>
    <phoneticPr fontId="7"/>
  </si>
  <si>
    <t>メモ</t>
    <phoneticPr fontId="7"/>
  </si>
  <si>
    <t>* 1回だけ測定して送る
* 2回測定して両方送る
* 代表値だけ送る
* 1回目・2回目・代表値全部送る
システムによって扱いが違うため仕様不明</t>
    <rPh sb="62" eb="63">
      <t>アツカイ</t>
    </rPh>
    <rPh sb="65" eb="66">
      <t>チガウ</t>
    </rPh>
    <rPh sb="69" eb="71">
      <t xml:space="preserve">シヨウ </t>
    </rPh>
    <rPh sb="71" eb="73">
      <t>フメイ</t>
    </rPh>
    <phoneticPr fontId="7"/>
  </si>
  <si>
    <t>Any:identity9A750</t>
    <phoneticPr fontId="7"/>
  </si>
  <si>
    <t>Any:identity9A760</t>
    <phoneticPr fontId="7"/>
  </si>
  <si>
    <t>Any:identity2A030</t>
    <phoneticPr fontId="7"/>
  </si>
  <si>
    <t>Any:identity2A020</t>
    <phoneticPr fontId="7"/>
  </si>
  <si>
    <t>Any:identity3B035</t>
    <phoneticPr fontId="7"/>
  </si>
  <si>
    <t>Any:identity3B045</t>
    <phoneticPr fontId="7"/>
  </si>
  <si>
    <t>Any:identity3B090</t>
    <phoneticPr fontId="7"/>
  </si>
  <si>
    <t>空腹時と随時では基準値、評価が変わるだけなので有無のチェックはどれかでいい</t>
    <rPh sb="0" eb="3">
      <t>クウ</t>
    </rPh>
    <rPh sb="4" eb="6">
      <t>ズイジ</t>
    </rPh>
    <rPh sb="8" eb="11">
      <t>キジュn</t>
    </rPh>
    <rPh sb="12" eb="14">
      <t>ヒョウカ</t>
    </rPh>
    <rPh sb="15" eb="16">
      <t>カワル</t>
    </rPh>
    <rPh sb="23" eb="25">
      <t xml:space="preserve">ウムノ </t>
    </rPh>
    <phoneticPr fontId="7"/>
  </si>
  <si>
    <t>Any:identity3F015</t>
    <phoneticPr fontId="7"/>
  </si>
  <si>
    <t>Any:identity3F077 対象外:method3F07740009（method 3F07710000,3F07720000,3F07730009のいずれかに値がある）</t>
    <rPh sb="18" eb="21">
      <t>タイショウ</t>
    </rPh>
    <phoneticPr fontId="7"/>
  </si>
  <si>
    <t>Any:identity3F070</t>
    <phoneticPr fontId="7"/>
  </si>
  <si>
    <t>Any:identity1A020</t>
    <phoneticPr fontId="7"/>
  </si>
  <si>
    <t>Any:identity1A010</t>
    <phoneticPr fontId="7"/>
  </si>
  <si>
    <t>詳細No</t>
    <rPh sb="0" eb="2">
      <t>ショウサイ</t>
    </rPh>
    <phoneticPr fontId="7"/>
  </si>
  <si>
    <t>詳細項目</t>
    <rPh sb="0" eb="2">
      <t>ショウサイ</t>
    </rPh>
    <rPh sb="2" eb="4">
      <t>コウモク</t>
    </rPh>
    <phoneticPr fontId="7"/>
  </si>
  <si>
    <t>項目詳細No
則[00]検査項目No[00][000]詳細項目No[000]</t>
    <rPh sb="0" eb="2">
      <t>コウモク</t>
    </rPh>
    <rPh sb="2" eb="4">
      <t>ショウサイ</t>
    </rPh>
    <rPh sb="7" eb="8">
      <t>ソク</t>
    </rPh>
    <rPh sb="12" eb="14">
      <t>ケンサ</t>
    </rPh>
    <rPh sb="14" eb="16">
      <t>コウモク</t>
    </rPh>
    <rPh sb="27" eb="31">
      <t>ショウサイコウモク</t>
    </rPh>
    <phoneticPr fontId="7"/>
  </si>
  <si>
    <t>有無のチェック</t>
    <rPh sb="0" eb="2">
      <t>ウム</t>
    </rPh>
    <phoneticPr fontId="7"/>
  </si>
  <si>
    <r>
      <rPr>
        <sz val="9"/>
        <color rgb="FF000000"/>
        <rFont val="MS Gothic"/>
        <family val="2"/>
        <charset val="128"/>
      </rPr>
      <t>・【血糖検査の方法】検査方法は規則本体ではなく通達で定められている。空腹時血糖・随時血糖・</t>
    </r>
    <r>
      <rPr>
        <sz val="9"/>
        <color rgb="FF000000"/>
        <rFont val="Arial"/>
        <family val="2"/>
      </rPr>
      <t>HbA1c</t>
    </r>
    <r>
      <rPr>
        <sz val="9"/>
        <color rgb="FF000000"/>
        <rFont val="MS Gothic"/>
        <family val="2"/>
        <charset val="128"/>
      </rPr>
      <t>のいずれかで実施でき、</t>
    </r>
    <r>
      <rPr>
        <sz val="9"/>
        <color rgb="FF000000"/>
        <rFont val="Arial"/>
        <family val="2"/>
      </rPr>
      <t>HbA1c(NGSP</t>
    </r>
    <r>
      <rPr>
        <sz val="9"/>
        <color rgb="FF000000"/>
        <rFont val="MS Gothic"/>
        <family val="2"/>
        <charset val="128"/>
      </rPr>
      <t>値</t>
    </r>
    <r>
      <rPr>
        <sz val="9"/>
        <color rgb="FF000000"/>
        <rFont val="Arial"/>
        <family val="2"/>
      </rPr>
      <t>)</t>
    </r>
    <r>
      <rPr>
        <sz val="9"/>
        <color rgb="FF000000"/>
        <rFont val="MS Gothic"/>
        <family val="2"/>
        <charset val="128"/>
      </rPr>
      <t>を測定せず随時血糖で行う場合は食直後（食事開始時から</t>
    </r>
    <r>
      <rPr>
        <sz val="9"/>
        <color rgb="FF000000"/>
        <rFont val="Arial"/>
        <family val="2"/>
      </rPr>
      <t>3.5</t>
    </r>
    <r>
      <rPr>
        <sz val="9"/>
        <color rgb="FF000000"/>
        <rFont val="MS Gothic"/>
        <family val="2"/>
        <charset val="128"/>
      </rPr>
      <t>時間未満）を除いて実施する（令和</t>
    </r>
    <r>
      <rPr>
        <sz val="9"/>
        <color rgb="FF000000"/>
        <rFont val="Arial"/>
        <family val="2"/>
      </rPr>
      <t>2</t>
    </r>
    <r>
      <rPr>
        <sz val="9"/>
        <color rgb="FF000000"/>
        <rFont val="MS Gothic"/>
        <family val="2"/>
        <charset val="128"/>
      </rPr>
      <t>年</t>
    </r>
    <r>
      <rPr>
        <sz val="9"/>
        <color rgb="FF000000"/>
        <rFont val="Arial"/>
        <family val="2"/>
      </rPr>
      <t>12</t>
    </r>
    <r>
      <rPr>
        <sz val="9"/>
        <color rgb="FF000000"/>
        <rFont val="MS Gothic"/>
        <family val="2"/>
        <charset val="128"/>
      </rPr>
      <t>月</t>
    </r>
    <r>
      <rPr>
        <sz val="9"/>
        <color rgb="FF000000"/>
        <rFont val="Arial"/>
        <family val="2"/>
      </rPr>
      <t>23</t>
    </r>
    <r>
      <rPr>
        <sz val="9"/>
        <color rgb="FF000000"/>
        <rFont val="MS Gothic"/>
        <family val="2"/>
        <charset val="128"/>
      </rPr>
      <t>日</t>
    </r>
    <r>
      <rPr>
        <sz val="9"/>
        <color rgb="FF000000"/>
        <rFont val="Arial"/>
        <family val="2"/>
      </rPr>
      <t xml:space="preserve"> </t>
    </r>
    <r>
      <rPr>
        <sz val="9"/>
        <color rgb="FF000000"/>
        <rFont val="MS Gothic"/>
        <family val="2"/>
        <charset val="128"/>
      </rPr>
      <t>基発</t>
    </r>
    <r>
      <rPr>
        <sz val="9"/>
        <color rgb="FF000000"/>
        <rFont val="Arial"/>
        <family val="2"/>
      </rPr>
      <t>1223</t>
    </r>
    <r>
      <rPr>
        <sz val="9"/>
        <color rgb="FF000000"/>
        <rFont val="MS Gothic"/>
        <family val="2"/>
        <charset val="128"/>
      </rPr>
      <t>第</t>
    </r>
    <r>
      <rPr>
        <sz val="9"/>
        <color rgb="FF000000"/>
        <rFont val="Arial"/>
        <family val="2"/>
      </rPr>
      <t>7</t>
    </r>
    <r>
      <rPr>
        <sz val="9"/>
        <color rgb="FF000000"/>
        <rFont val="MS Gothic"/>
        <family val="2"/>
        <charset val="128"/>
      </rPr>
      <t>号。特定健康診査との整合を図ったもので、これにより基発</t>
    </r>
    <r>
      <rPr>
        <sz val="9"/>
        <color rgb="FF000000"/>
        <rFont val="Arial"/>
        <family val="2"/>
      </rPr>
      <t>0804</t>
    </r>
    <r>
      <rPr>
        <sz val="9"/>
        <color rgb="FF000000"/>
        <rFont val="MS Gothic"/>
        <family val="2"/>
        <charset val="128"/>
      </rPr>
      <t>第</t>
    </r>
    <r>
      <rPr>
        <sz val="9"/>
        <color rgb="FF000000"/>
        <rFont val="Arial"/>
        <family val="2"/>
      </rPr>
      <t>4</t>
    </r>
    <r>
      <rPr>
        <sz val="9"/>
        <color rgb="FF000000"/>
        <rFont val="MS Gothic"/>
        <family val="2"/>
        <charset val="128"/>
      </rPr>
      <t>号の記の</t>
    </r>
    <r>
      <rPr>
        <sz val="9"/>
        <color rgb="FF000000"/>
        <rFont val="Arial"/>
        <family val="2"/>
      </rPr>
      <t>3</t>
    </r>
    <r>
      <rPr>
        <sz val="9"/>
        <color rgb="FF000000"/>
        <rFont val="MS Gothic"/>
        <family val="2"/>
        <charset val="128"/>
      </rPr>
      <t>の血糖検査の取扱いは廃止）。</t>
    </r>
    <phoneticPr fontId="7"/>
  </si>
  <si>
    <t>OK:method9A11016070=2,methodmethod9A11016070=1 and 9A11016080 not null</t>
    <phoneticPr fontId="7"/>
  </si>
  <si>
    <t>単純/複雑</t>
    <rPh sb="0" eb="2">
      <t>タンジュn</t>
    </rPh>
    <rPh sb="3" eb="5">
      <t>フクザテゥ</t>
    </rPh>
    <phoneticPr fontId="7"/>
  </si>
  <si>
    <t>-</t>
    <phoneticPr fontId="7"/>
  </si>
  <si>
    <t>単純</t>
    <rPh sb="0" eb="2">
      <t>タンジュn</t>
    </rPh>
    <phoneticPr fontId="7"/>
  </si>
  <si>
    <t>単純</t>
    <rPh sb="0" eb="1">
      <t>タンジュn</t>
    </rPh>
    <phoneticPr fontId="7"/>
  </si>
  <si>
    <t>単純/種類</t>
    <rPh sb="0" eb="2">
      <t>タンジュn</t>
    </rPh>
    <rPh sb="3" eb="5">
      <t>シュルイ</t>
    </rPh>
    <phoneticPr fontId="7"/>
  </si>
  <si>
    <t>identity</t>
    <phoneticPr fontId="7"/>
  </si>
  <si>
    <t>処理順は制度上の優先順位ではなく、条件判定を単純化するために
「空腹時血糖・HbA1c」→「条件付き随時血糖」
の順で評価する。</t>
    <rPh sb="0" eb="1">
      <t>クウ</t>
    </rPh>
    <rPh sb="6" eb="10">
      <t>ズイジ</t>
    </rPh>
    <rPh sb="17" eb="18">
      <t>ジュn</t>
    </rPh>
    <rPh sb="19" eb="20">
      <t>ヨイグ</t>
    </rPh>
    <rPh sb="22" eb="25">
      <t>ユウセn</t>
    </rPh>
    <rPh sb="33" eb="35">
      <t>ショリ</t>
    </rPh>
    <rPh sb="36" eb="38">
      <t>ツゴウ</t>
    </rPh>
    <rPh sb="39" eb="42">
      <t>クウフク</t>
    </rPh>
    <rPh sb="42" eb="44">
      <t>ケットウ</t>
    </rPh>
    <rPh sb="51" eb="55">
      <t>ズイジ</t>
    </rPh>
    <rPh sb="56" eb="57">
      <t>ジュn</t>
    </rPh>
    <phoneticPr fontId="7"/>
  </si>
  <si>
    <t>日本語での説明</t>
    <rPh sb="0" eb="3">
      <t>ニホn</t>
    </rPh>
    <rPh sb="5" eb="7">
      <t>セツメイ</t>
    </rPh>
    <phoneticPr fontId="7"/>
  </si>
  <si>
    <t>OK:
[既往歴所見の有無]
所見なし（CD=2）
所見あり（CD=1）かつ既往歴所見が空欄じゃない場合OK
MISSING:
それ以外</t>
    <rPh sb="3" eb="7">
      <t>キオウレキ</t>
    </rPh>
    <rPh sb="7" eb="9">
      <t>ショケn</t>
    </rPh>
    <rPh sb="14" eb="15">
      <t>ショケn</t>
    </rPh>
    <rPh sb="28" eb="30">
      <t>ショケn</t>
    </rPh>
    <rPh sb="40" eb="43">
      <t>キオウレキ</t>
    </rPh>
    <rPh sb="43" eb="45">
      <t>ショケn</t>
    </rPh>
    <rPh sb="46" eb="48">
      <t>クウ</t>
    </rPh>
    <rPh sb="52" eb="54">
      <t>バアイ</t>
    </rPh>
    <phoneticPr fontId="7"/>
  </si>
  <si>
    <t>OK:
[自覚症状所見の有無]
所見なし（CD=2）
所見あり（CD=1）かつ自覚症状所見が空欄じゃない場合OK
MISSING:
それ以外</t>
  </si>
  <si>
    <t>OK:
[他覚症状所見の有無]
所見なし（CD=2）
所見あり（CD=1）かつ他覚症状所見が空欄じゃない場合OK
MISSING:
それ以外</t>
  </si>
  <si>
    <t>OK:
いずれかの項目に値がある
同一性項目：身長
MISSING:
値がない</t>
    <rPh sb="8" eb="10">
      <t>コウモク</t>
    </rPh>
    <rPh sb="11" eb="12">
      <t>アタイ</t>
    </rPh>
    <rPh sb="15" eb="20">
      <t>ドウイテゥ</t>
    </rPh>
    <rPh sb="22" eb="24">
      <t>シンチョウ</t>
    </rPh>
    <rPh sb="35" eb="36">
      <t>アタイ</t>
    </rPh>
    <phoneticPr fontId="7"/>
  </si>
  <si>
    <t>OK:
いずれかの項目に値がある
同一性項目：体重
MISSING:
値がない</t>
  </si>
  <si>
    <t>OK:
いずれかの項目に値がある
同一性項目：収縮期血圧
MISSING:
値がない</t>
  </si>
  <si>
    <t>OK:
いずれかの項目に値がある
同一性項目：拡張期血圧
MISSING:
値がない</t>
  </si>
  <si>
    <t>OK:
いずれかの項目に値がある
同一性項目：血色素量（ヘモグロビン）
MISSING:
値がない</t>
  </si>
  <si>
    <t>OK:
いずれかの項目に値がある
同一性項目：赤血球数
MISSING:
値がない</t>
  </si>
  <si>
    <t>OK:
いずれかの項目に値がある
同一性項目：AST
MISSING:
値がない</t>
  </si>
  <si>
    <t>OK:
いずれかの項目に値がある
同一性項目：ALT
MISSING:
値がない</t>
  </si>
  <si>
    <t>OK:
いずれかの項目に値がある
同一性項目：γ-GT
MISSING:
値がない</t>
  </si>
  <si>
    <t>OK:
いずれかの項目に値がある
同一性項目：HDL
MISSING:
値がない</t>
  </si>
  <si>
    <t>OK:
いずれかの項目に値がある
同一性項目：TG
MISSING:
値がない</t>
  </si>
  <si>
    <t>OK:
いずれかの項目に値がある
同一性項目：尿糖
MISSING:
値がない</t>
  </si>
  <si>
    <t>OK:
いずれかの項目に値がある
同一性項目：尿蛋白
MISSING:
値がない</t>
  </si>
  <si>
    <t>OK:
[心電図所見の有無]
所見なし（CD=2）
所見あり（CD=1）かつ心電図所見が空欄じゃない場合OK
MISSING:
それ以外</t>
  </si>
  <si>
    <t>OK:
視力右に値がある
かつ、視力左に値がある
※裸眼・矯正のいずれかに値があればOK
MISSING:
視力右・視力左のいずれかに値がない</t>
  </si>
  <si>
    <t>OK:
聴力検査の4項目すべてに値がある
WARNING:
4項目のいずれかに値がなく、会話法による聴力検査に値がある
MISSING:
4項目のいずれかに値がなく、会話法による聴力検査にも値がない</t>
  </si>
  <si>
    <t>OK:
胸部X線検査結果のいずれかに値がある
または、[胸部X線所見の有無]で所見なし（CD=2）
または、所見あり（CD=1）かつ対応する胸部X線所見が空欄じゃない
WARNING:
[胸部X線所見の有無]が判定不能（CD=3）
MISSING:
それ以外</t>
  </si>
  <si>
    <t>OK:
LDLに値がある
※対象外の測定方法を除き、対象となる測定方法のいずれかに値があればOK
MISSING:
対象となる測定方法のいずれにも値がない</t>
  </si>
  <si>
    <t>OK:
空腹時血糖に値がある（採血時間は不要）
または、随時血糖に値があり、採血時間（9N141）がCD=2またはCD=3
または、HbA1cに値がある（採血時間は不要）
MISSING:
それ以外</t>
  </si>
  <si>
    <t>Any:namecode 3D010000001926101,3D010000002227101,3D010000001927201,3D010000001999901,3D046000001906202,3D046000001920402,3D046000001927102,3D046000001999902
上記がMISSINGの場合、
Any:namecode 3D010129901926101,3D010129902227101,3D010129901927201,3D010129901999901
があり、かつ9N141が2または3であればOK</t>
    <rPh sb="229" eb="231">
      <t>ジョウ</t>
    </rPh>
    <phoneticPr fontId="7"/>
  </si>
  <si>
    <t>require_methods</t>
    <phoneticPr fontId="7"/>
  </si>
  <si>
    <t>require_namecodes</t>
    <phoneticPr fontId="7"/>
  </si>
  <si>
    <t>excluded_namecodes</t>
  </si>
  <si>
    <t>excluded_methods</t>
    <phoneticPr fontId="7"/>
  </si>
  <si>
    <t>実施項目</t>
  </si>
  <si>
    <t>法定報告項目</t>
  </si>
  <si>
    <t>区分番号</t>
  </si>
  <si>
    <t>区分名称</t>
  </si>
  <si>
    <t>順番号</t>
  </si>
  <si>
    <t>項目コード（17桁）</t>
  </si>
  <si>
    <t>項目名</t>
  </si>
  <si>
    <t>データ
タイプ</t>
  </si>
  <si>
    <t>XMLデータ型</t>
  </si>
  <si>
    <t>最大バイト長</t>
  </si>
  <si>
    <t>数値型の場合の形式</t>
  </si>
  <si>
    <t>表示用単位</t>
  </si>
  <si>
    <t>XML用単位</t>
  </si>
  <si>
    <t>author要素</t>
  </si>
  <si>
    <t>一連検査グループ識別</t>
  </si>
  <si>
    <t>一連検査グループ関係コード</t>
  </si>
  <si>
    <t>同一性項目コード</t>
  </si>
  <si>
    <t>同一性項目名称</t>
  </si>
  <si>
    <t>XML検査方法コード</t>
  </si>
  <si>
    <t>検査方法</t>
  </si>
  <si>
    <t>結果コードOID</t>
  </si>
  <si>
    <t>項目コードOID</t>
  </si>
  <si>
    <t>XML化にあたっての備考</t>
  </si>
  <si>
    <t>備考</t>
  </si>
  <si>
    <t>method_codes</t>
    <phoneticPr fontId="20"/>
  </si>
  <si>
    <t>身体計測</t>
  </si>
  <si>
    <t>9N001000000000001</t>
  </si>
  <si>
    <t>数字</t>
  </si>
  <si>
    <t>PQ</t>
  </si>
  <si>
    <t>NNN.N</t>
  </si>
  <si>
    <t>cm</t>
  </si>
  <si>
    <t>9N001</t>
  </si>
  <si>
    <t>1.2.392.200119.6.1005</t>
  </si>
  <si>
    <t>9N006000000000001</t>
  </si>
  <si>
    <t>kg</t>
  </si>
  <si>
    <t>9N006</t>
  </si>
  <si>
    <t>9N011000000000001</t>
  </si>
  <si>
    <t>BMI</t>
  </si>
  <si>
    <t>NN.N</t>
  </si>
  <si>
    <t>kg/m2</t>
  </si>
  <si>
    <t>9N011</t>
  </si>
  <si>
    <t>ＢＭＩ</t>
  </si>
  <si>
    <t>9N021000000000001</t>
  </si>
  <si>
    <t>内臓脂肪面積</t>
  </si>
  <si>
    <t>cm2</t>
  </si>
  <si>
    <t>9N021</t>
  </si>
  <si>
    <t>9N016160100000001</t>
  </si>
  <si>
    <t>腹囲(実測）</t>
  </si>
  <si>
    <t>9N016</t>
  </si>
  <si>
    <t>9N01610000</t>
  </si>
  <si>
    <t>1：実測</t>
  </si>
  <si>
    <t>9N016160200000001</t>
  </si>
  <si>
    <t>腹囲(自己判定）</t>
  </si>
  <si>
    <t>9N01620000</t>
  </si>
  <si>
    <t>2：自己測定</t>
  </si>
  <si>
    <t>9N016160300000001</t>
  </si>
  <si>
    <t>腹囲(自己申告）</t>
  </si>
  <si>
    <t>9N01630000</t>
  </si>
  <si>
    <t>3：自己申告</t>
  </si>
  <si>
    <t>BMIが22未満である者に限る</t>
  </si>
  <si>
    <t>9N026000000000002</t>
  </si>
  <si>
    <t>肥満度</t>
  </si>
  <si>
    <t>%</t>
  </si>
  <si>
    <t>9N026</t>
  </si>
  <si>
    <t>診察</t>
  </si>
  <si>
    <t>9N051000000000049</t>
  </si>
  <si>
    <t>業務歴</t>
  </si>
  <si>
    <t>文字列</t>
  </si>
  <si>
    <t>ST</t>
  </si>
  <si>
    <t>9N051</t>
  </si>
  <si>
    <t>9N056000000000011</t>
  </si>
  <si>
    <t>既往歴</t>
  </si>
  <si>
    <t>コード</t>
  </si>
  <si>
    <t>CD</t>
  </si>
  <si>
    <t>N</t>
  </si>
  <si>
    <t>9N056</t>
  </si>
  <si>
    <t>1.2.392.200119.6.2001</t>
  </si>
  <si>
    <t>1:特記すべきことあり、
2:特記すべきことなし</t>
  </si>
  <si>
    <t>9N056160400000049</t>
  </si>
  <si>
    <t>具体的な既往歴</t>
  </si>
  <si>
    <t>特記すべきことありの場合記載</t>
  </si>
  <si>
    <t>9N061000000000011</t>
  </si>
  <si>
    <t>自覚症状</t>
  </si>
  <si>
    <t>9N061</t>
  </si>
  <si>
    <t>9N061160800000049</t>
  </si>
  <si>
    <t>自覚症状(所見)</t>
  </si>
  <si>
    <t>9N066000000000011</t>
  </si>
  <si>
    <t>他覚症状</t>
  </si>
  <si>
    <t>9N066</t>
  </si>
  <si>
    <t>9N066160800000049</t>
  </si>
  <si>
    <t>他覚症状(所見)</t>
  </si>
  <si>
    <t>9N071000000000049</t>
  </si>
  <si>
    <t>その他(家族歴等)</t>
  </si>
  <si>
    <t>9N071</t>
  </si>
  <si>
    <t>その他（家族歴等）</t>
  </si>
  <si>
    <t>9N076000000000049</t>
  </si>
  <si>
    <t>視診(口腔内含む)</t>
  </si>
  <si>
    <t>9N076</t>
  </si>
  <si>
    <t>視診（口腔内含む）</t>
  </si>
  <si>
    <t>9N081000000000049</t>
  </si>
  <si>
    <t>打聴診</t>
  </si>
  <si>
    <t>9N081</t>
  </si>
  <si>
    <t>9N086000000000049</t>
  </si>
  <si>
    <t>触診(関節可動域含む)</t>
  </si>
  <si>
    <t>9N086</t>
  </si>
  <si>
    <t>触診（関節可動域含む）</t>
  </si>
  <si>
    <t>9N091000000000001</t>
  </si>
  <si>
    <t>反復唾液嚥下テスト</t>
  </si>
  <si>
    <t>回</t>
  </si>
  <si>
    <t>{times}</t>
  </si>
  <si>
    <t>9N091</t>
  </si>
  <si>
    <t>血圧等</t>
  </si>
  <si>
    <t>9A755000000000001</t>
  </si>
  <si>
    <t>収縮期血圧(その他)</t>
  </si>
  <si>
    <t>NNN</t>
  </si>
  <si>
    <t>mmHg</t>
  </si>
  <si>
    <t>mm[Hg]</t>
  </si>
  <si>
    <t>9A750</t>
  </si>
  <si>
    <t>収縮期血圧</t>
  </si>
  <si>
    <t>9A75500009</t>
  </si>
  <si>
    <t>3：その他</t>
  </si>
  <si>
    <t>平均値等、「1回目」、「2回目」以外の値の最も確かな値を記入する</t>
  </si>
  <si>
    <t>9A752000000000001</t>
  </si>
  <si>
    <t>収縮期血圧(2回目)</t>
  </si>
  <si>
    <t>9A75200000</t>
  </si>
  <si>
    <t>2：2回目</t>
  </si>
  <si>
    <t>9A751000000000001</t>
  </si>
  <si>
    <t>収縮期血圧(1回目)</t>
  </si>
  <si>
    <t>9A75100000</t>
  </si>
  <si>
    <t>1：1回目</t>
  </si>
  <si>
    <t>9A765000000000001</t>
  </si>
  <si>
    <t>拡張期血圧(その他)</t>
  </si>
  <si>
    <t>9A760</t>
  </si>
  <si>
    <t>拡張期血圧</t>
  </si>
  <si>
    <t>9A76500009</t>
  </si>
  <si>
    <t>9A762000000000001</t>
  </si>
  <si>
    <t>拡張期血圧(2回目)</t>
  </si>
  <si>
    <t>9A76200000</t>
  </si>
  <si>
    <t>9A761000000000001</t>
  </si>
  <si>
    <t>拡張期血圧(1回目)</t>
  </si>
  <si>
    <t>9A76100000</t>
  </si>
  <si>
    <t>9N121000000000001</t>
  </si>
  <si>
    <t>心拍数</t>
  </si>
  <si>
    <t>拍／分</t>
  </si>
  <si>
    <t>{h`b}/min</t>
  </si>
  <si>
    <t>9N121</t>
  </si>
  <si>
    <t>採血条件</t>
  </si>
  <si>
    <t>9N141000000000011</t>
  </si>
  <si>
    <t>採血時間(食後)</t>
  </si>
  <si>
    <t>9N141</t>
  </si>
  <si>
    <t>採血時間（食後）</t>
  </si>
  <si>
    <t>1.2.392.200119.6.2202</t>
  </si>
  <si>
    <t>2：食後10時間以上、3：食後3.5時間以上10時間未満、4：食後3.5時間未満</t>
    <phoneticPr fontId="20"/>
  </si>
  <si>
    <t>生化学検査</t>
  </si>
  <si>
    <t>3F050000002327101</t>
  </si>
  <si>
    <t>総コレステロール</t>
  </si>
  <si>
    <t>NNNNN</t>
  </si>
  <si>
    <t>mg/dl</t>
  </si>
  <si>
    <t>mg/dL</t>
  </si>
  <si>
    <t>3F050</t>
  </si>
  <si>
    <t>3F05010000</t>
  </si>
  <si>
    <t>1：可視吸光光度法(コレステロール酸化酵素法)</t>
  </si>
  <si>
    <t>3F050000002327201</t>
  </si>
  <si>
    <t>3F05020000</t>
  </si>
  <si>
    <t>2：紫外吸光光度法(コレステロール脱水素酵素法)</t>
  </si>
  <si>
    <t>3F050000002399901</t>
  </si>
  <si>
    <t>3F05030009</t>
  </si>
  <si>
    <t>3F015000002327101</t>
  </si>
  <si>
    <t>空腹時中性脂肪(トリグリセリド)</t>
  </si>
  <si>
    <t>3F015</t>
  </si>
  <si>
    <t>中性脂肪（トリグリセリド）</t>
  </si>
  <si>
    <t>3F01510000</t>
  </si>
  <si>
    <t>1：可視吸光光度法(酵素比色法・グリセロール消去)</t>
  </si>
  <si>
    <t>V4.0でXML表示名変更</t>
  </si>
  <si>
    <t>特定健康診査においてこの項目に結果が記録される場合、「採血時間(食後)」のコードが「2：食後10時間以上」である必要がある</t>
  </si>
  <si>
    <t>3F015000002327201</t>
  </si>
  <si>
    <t>3F01520000</t>
  </si>
  <si>
    <t>2：紫外吸光光度法(酵素比色法・グリセロール消去)</t>
  </si>
  <si>
    <t>3F015000002399901</t>
  </si>
  <si>
    <t>3F01530009</t>
  </si>
  <si>
    <t>3F015129902327101</t>
  </si>
  <si>
    <t>随時中性脂肪(トリグリセリド)</t>
  </si>
  <si>
    <t>V4.0で追加</t>
  </si>
  <si>
    <t>特定健康診査においてこの項目の結果が記録される場合、「採血時間(食後)」のコードが「3：食後3.5時間以上10時間未満」である必要がある</t>
  </si>
  <si>
    <t>3F015129902327201</t>
  </si>
  <si>
    <t>3F015129902399901</t>
  </si>
  <si>
    <t>3F070000002327101</t>
  </si>
  <si>
    <t>HDLコレステロール</t>
  </si>
  <si>
    <t>3F070</t>
  </si>
  <si>
    <t>ＨＤＬコレステロール</t>
  </si>
  <si>
    <t>3F07010000</t>
  </si>
  <si>
    <t>1：可視吸光光度法(直接法(非沈殿法))</t>
  </si>
  <si>
    <t>3F070000002327201</t>
  </si>
  <si>
    <t>3F07020000</t>
  </si>
  <si>
    <t>2：紫外吸光光度法(直接法(非沈殿法))</t>
  </si>
  <si>
    <t>3F070000002399901</t>
  </si>
  <si>
    <t>3F07030009</t>
  </si>
  <si>
    <t>3F077000002327101</t>
  </si>
  <si>
    <t>LDLコレステロール</t>
  </si>
  <si>
    <t>3F077</t>
  </si>
  <si>
    <t>ＬＤＬコレステロール</t>
  </si>
  <si>
    <t>3F07710000</t>
  </si>
  <si>
    <t>3F077000002327201</t>
  </si>
  <si>
    <t>3F07720000</t>
  </si>
  <si>
    <t>3F077000002399901</t>
  </si>
  <si>
    <t>3F07730009</t>
  </si>
  <si>
    <t>3F077000002391901</t>
  </si>
  <si>
    <t>3F07740009</t>
  </si>
  <si>
    <t>4：計算法</t>
  </si>
  <si>
    <t>V3.0で追加</t>
  </si>
  <si>
    <t>3F069000002391901</t>
  </si>
  <si>
    <t>Non-HDLコレステロール</t>
  </si>
  <si>
    <t>3F069</t>
  </si>
  <si>
    <t>non-HDLコレステロール</t>
  </si>
  <si>
    <t>3F06910000</t>
  </si>
  <si>
    <t>3J010000002327101</t>
  </si>
  <si>
    <t>総ビリルビン</t>
  </si>
  <si>
    <t>3J010</t>
  </si>
  <si>
    <t>3J01010000</t>
  </si>
  <si>
    <t>1：可視吸光光度法(化学酸化法、酵素法、ジアゾ法)</t>
  </si>
  <si>
    <t>3J010000002399901</t>
  </si>
  <si>
    <t>3J01020009</t>
  </si>
  <si>
    <t>2：その他</t>
  </si>
  <si>
    <t>3B035000002327201</t>
  </si>
  <si>
    <t>AST(GOT)</t>
  </si>
  <si>
    <t>U/l</t>
  </si>
  <si>
    <t>U/L</t>
  </si>
  <si>
    <t>3B035</t>
  </si>
  <si>
    <t>3B03510000</t>
  </si>
  <si>
    <t>1：紫外吸光光度法(JSCC標準化対応法)</t>
  </si>
  <si>
    <t>3B035000002399901</t>
  </si>
  <si>
    <t>3B03520009</t>
  </si>
  <si>
    <t>3B045000002327201</t>
  </si>
  <si>
    <t>ALT(GPT)</t>
  </si>
  <si>
    <t>3B045</t>
  </si>
  <si>
    <t>3B04510000</t>
  </si>
  <si>
    <t>3B045000002399901</t>
  </si>
  <si>
    <t>3B04520009</t>
  </si>
  <si>
    <t>3B090000002327101</t>
  </si>
  <si>
    <t>γ-GT(γ-GTP)</t>
  </si>
  <si>
    <t>3B090</t>
  </si>
  <si>
    <t>3B09010000</t>
  </si>
  <si>
    <t>1：可視吸光光度法(JSCC標準化対応法)</t>
  </si>
  <si>
    <t>3B090000002399901</t>
  </si>
  <si>
    <t>3B09020009</t>
  </si>
  <si>
    <t>3B070000002327101</t>
  </si>
  <si>
    <t>ALP</t>
  </si>
  <si>
    <t>3B070</t>
  </si>
  <si>
    <t>ＡＬＰ</t>
  </si>
  <si>
    <t>3B07010000</t>
  </si>
  <si>
    <t>3B070000002327501</t>
  </si>
  <si>
    <t>3B07020000</t>
  </si>
  <si>
    <t>2：IFCC対応法(改定JSCC標準化対応法)</t>
  </si>
  <si>
    <t>3B070000002399901</t>
  </si>
  <si>
    <t>3B07030009</t>
  </si>
  <si>
    <t>3B050000002327201</t>
  </si>
  <si>
    <t>LD</t>
  </si>
  <si>
    <t>3B050</t>
  </si>
  <si>
    <t>3B05010000</t>
  </si>
  <si>
    <t>3B050000002327901</t>
  </si>
  <si>
    <t>3B05020000</t>
  </si>
  <si>
    <t>3B050000002399901</t>
  </si>
  <si>
    <t>3B05030009</t>
  </si>
  <si>
    <t>□</t>
  </si>
  <si>
    <t>□注1)</t>
  </si>
  <si>
    <t>3C015000002327101</t>
  </si>
  <si>
    <t>血清クレアチニン</t>
  </si>
  <si>
    <t>NN.NN</t>
  </si>
  <si>
    <t>3C015161002399949</t>
  </si>
  <si>
    <t>COMP</t>
  </si>
  <si>
    <t>3C015</t>
  </si>
  <si>
    <t>3C01510000</t>
  </si>
  <si>
    <t>1：可視吸光光度法(酵素法)</t>
  </si>
  <si>
    <t>3C015000002399901</t>
  </si>
  <si>
    <t>3C01520009</t>
  </si>
  <si>
    <t>3C015161602399911</t>
  </si>
  <si>
    <t>血清クレアチニン（対象者）</t>
  </si>
  <si>
    <t>RSON</t>
  </si>
  <si>
    <t>1.2.392.200119.6.18110</t>
  </si>
  <si>
    <t>血清クレアチニン（実施理由）</t>
  </si>
  <si>
    <t>1：検査結果による血清クレアチニン検査対象者
※詳細な健診の項目として実施しない場合で、値を出現させるときは0（ゼロ）を入力する</t>
  </si>
  <si>
    <t>8A065000002391901</t>
  </si>
  <si>
    <t>eGFR</t>
  </si>
  <si>
    <t>ml/min/1.73m2</t>
  </si>
  <si>
    <t>8A065</t>
  </si>
  <si>
    <t>8A06510000</t>
  </si>
  <si>
    <t>詳細な健診の項目として血清クレアチニン検査を実施した場合は必須</t>
  </si>
  <si>
    <t>3C020000002327101</t>
  </si>
  <si>
    <t>血清尿酸</t>
  </si>
  <si>
    <t>3C020</t>
  </si>
  <si>
    <t>3C02010000</t>
  </si>
  <si>
    <t>1：可視吸光光度法(ウリカーゼ・ペルオキシターゼ法)</t>
  </si>
  <si>
    <t>3C020000002399901</t>
  </si>
  <si>
    <t>3C02020009</t>
  </si>
  <si>
    <t>3A010000002327101</t>
  </si>
  <si>
    <t>総蛋白</t>
  </si>
  <si>
    <t>g/dl</t>
  </si>
  <si>
    <t>g/dL</t>
  </si>
  <si>
    <t>3A010</t>
  </si>
  <si>
    <t>3A01010000</t>
  </si>
  <si>
    <t>1：可視吸光光度法(ビウレット法)</t>
  </si>
  <si>
    <t>3A010000002399901</t>
  </si>
  <si>
    <t>3A01020009</t>
  </si>
  <si>
    <t>3A015000002327101</t>
  </si>
  <si>
    <t>アルブミン</t>
  </si>
  <si>
    <t>3A015</t>
  </si>
  <si>
    <t>3A01510000</t>
  </si>
  <si>
    <t>1：可視吸光光度法(BCG法、BCP改良法)</t>
  </si>
  <si>
    <t>3A015000002399901</t>
  </si>
  <si>
    <t>3A01520009</t>
  </si>
  <si>
    <t>3A016000002327102</t>
  </si>
  <si>
    <t>A/G</t>
  </si>
  <si>
    <t>3A016</t>
  </si>
  <si>
    <t>Ａ／Ｇ</t>
  </si>
  <si>
    <t>計算値</t>
  </si>
  <si>
    <t>5C095000002302301</t>
  </si>
  <si>
    <t>血清フェリチン</t>
  </si>
  <si>
    <t>ng/ml</t>
  </si>
  <si>
    <t>ng/mL</t>
  </si>
  <si>
    <t>5C095</t>
  </si>
  <si>
    <t>5C09510000</t>
  </si>
  <si>
    <t>1：エンザイムイムノアッセイ(EIA)</t>
  </si>
  <si>
    <t>5C095000002399901</t>
  </si>
  <si>
    <t>5C09520009</t>
  </si>
  <si>
    <t>●注2)</t>
  </si>
  <si>
    <t>血糖検査</t>
  </si>
  <si>
    <t>3D010000001926101</t>
  </si>
  <si>
    <t>空腹時血糖</t>
  </si>
  <si>
    <t>NNNN</t>
  </si>
  <si>
    <t>3D010</t>
  </si>
  <si>
    <t>血糖</t>
  </si>
  <si>
    <t>3D01010000</t>
  </si>
  <si>
    <t>1：電位差法(ブドウ糖酸化酵素電極法)</t>
  </si>
  <si>
    <t>特定健康診査においてこの項目に結果が記録される場合、「採血時間(食後)」のコードが記録されている場合は「2：食後10時間以上」である必要がある</t>
  </si>
  <si>
    <t>3D010000002227101</t>
  </si>
  <si>
    <t>3D01020000</t>
  </si>
  <si>
    <t>2：可視吸光光度法(ブドウ糖酸化酵素法)</t>
  </si>
  <si>
    <t>3D010000001927201</t>
  </si>
  <si>
    <t>3D01030000</t>
  </si>
  <si>
    <t>3：紫外吸光光度法(ヘキソキナーゼ法、グルコキナーゼ法、ブドウ糖脱水素酵素法)</t>
  </si>
  <si>
    <t>3D010000001999901</t>
  </si>
  <si>
    <t>3D01040009</t>
  </si>
  <si>
    <t>4：その他</t>
  </si>
  <si>
    <t>3D010129901926101</t>
  </si>
  <si>
    <t>随時血糖</t>
  </si>
  <si>
    <t>特定健康診査においてこの項目に結果が記録される場合、「採血時間(食後)」のコードが記録されている場合は「3：食後3.5時間以上10時間未満」である必要がある</t>
  </si>
  <si>
    <t>3D010129902227101</t>
  </si>
  <si>
    <t>3D010129901927201</t>
  </si>
  <si>
    <t>3D010129901999901</t>
  </si>
  <si>
    <t>3D046000001906202</t>
  </si>
  <si>
    <t>HbA1c(NGSP値)</t>
  </si>
  <si>
    <t>3D046</t>
  </si>
  <si>
    <t>ＨｂＡ１ｃ</t>
  </si>
  <si>
    <t>3D04610000</t>
  </si>
  <si>
    <t>1：免疫学的方法(ラテックス凝集比濁法等)</t>
  </si>
  <si>
    <t>V2.0で追加</t>
  </si>
  <si>
    <t>3D046000001920402</t>
  </si>
  <si>
    <t>3D04620000</t>
  </si>
  <si>
    <t>2：HPLC(不安定分画除去HPLC法)</t>
  </si>
  <si>
    <t>3D046000001927102</t>
  </si>
  <si>
    <t>3D04630000</t>
  </si>
  <si>
    <t>3：酵素法</t>
  </si>
  <si>
    <t>3D046000001999902</t>
  </si>
  <si>
    <t>3D04640009</t>
  </si>
  <si>
    <t>尿検査</t>
  </si>
  <si>
    <t>1A020000000191111</t>
  </si>
  <si>
    <t>尿糖</t>
  </si>
  <si>
    <t>CO</t>
  </si>
  <si>
    <t>1A020</t>
  </si>
  <si>
    <t>1A02010000</t>
  </si>
  <si>
    <t>1：試験紙法(機械読み取り)</t>
  </si>
  <si>
    <t>1.2.392.200119.6.2102</t>
  </si>
  <si>
    <t>1：－、2：±、3：＋、4：＋＋、5：＋＋＋</t>
  </si>
  <si>
    <t>1A020000000190111</t>
  </si>
  <si>
    <t>1A02020000</t>
  </si>
  <si>
    <t>2：試験紙法(目視法)</t>
  </si>
  <si>
    <t>1A010000000191111</t>
  </si>
  <si>
    <t>尿蛋白</t>
  </si>
  <si>
    <t>1A010</t>
  </si>
  <si>
    <t>1A01010000</t>
  </si>
  <si>
    <t>1A010000000190111</t>
  </si>
  <si>
    <t>1A01020000</t>
  </si>
  <si>
    <t>1A100000000191111</t>
  </si>
  <si>
    <t>尿潜血</t>
  </si>
  <si>
    <t>1A100</t>
  </si>
  <si>
    <t>1A10010000</t>
  </si>
  <si>
    <t>1A100000000190111</t>
  </si>
  <si>
    <t>1A10020000</t>
  </si>
  <si>
    <t>1A105160700166211</t>
  </si>
  <si>
    <t>尿沈渣(所見の有無)</t>
  </si>
  <si>
    <t>1A105</t>
  </si>
  <si>
    <t>尿沈渣</t>
  </si>
  <si>
    <t>1.2.392.200119.6.2002</t>
  </si>
  <si>
    <t>1：所見あり、2：所見なし</t>
  </si>
  <si>
    <t>1A105160800166249</t>
  </si>
  <si>
    <t>尿沈渣(所見)</t>
  </si>
  <si>
    <t>所見ありの場合に記載</t>
  </si>
  <si>
    <t>1A030000000190301</t>
  </si>
  <si>
    <t>尿比重</t>
  </si>
  <si>
    <t>N.NNN</t>
  </si>
  <si>
    <t>1A030</t>
  </si>
  <si>
    <t>1A03010000</t>
  </si>
  <si>
    <t>1：屈折計法</t>
  </si>
  <si>
    <t>1A030000000199901</t>
  </si>
  <si>
    <t>1A03020009</t>
  </si>
  <si>
    <t>3A015000000106101</t>
  </si>
  <si>
    <t>尿中アルブミン定量</t>
  </si>
  <si>
    <t>NNNNN.N</t>
  </si>
  <si>
    <t>mg/L</t>
  </si>
  <si>
    <t>尿中アルブミン</t>
  </si>
  <si>
    <t>1：免疫比濁法（TIA）（尿）</t>
  </si>
  <si>
    <t>3A015000000199901</t>
  </si>
  <si>
    <t>3A01520000</t>
  </si>
  <si>
    <t>2：その他（尿）</t>
  </si>
  <si>
    <t>3A015000000406101</t>
  </si>
  <si>
    <t>3A01530000</t>
  </si>
  <si>
    <t>3：免疫比濁法（TIA）（蓄尿）</t>
  </si>
  <si>
    <t>3A015000000499901</t>
  </si>
  <si>
    <t>3A01540000</t>
  </si>
  <si>
    <t>4：その他（蓄尿）</t>
  </si>
  <si>
    <t>3A015000000106128</t>
  </si>
  <si>
    <t>尿中アルブミンクレアチニン補正値／アルブミン指数</t>
  </si>
  <si>
    <t>mg/g･CR</t>
  </si>
  <si>
    <t>mg/g*CR</t>
  </si>
  <si>
    <t>3A01550000</t>
  </si>
  <si>
    <t>1：免疫比濁法（TIA）</t>
  </si>
  <si>
    <t>3A015000000199928</t>
  </si>
  <si>
    <t>3A01560000</t>
  </si>
  <si>
    <t>3A015000000406126</t>
  </si>
  <si>
    <t>尿中アルブミン一日量</t>
  </si>
  <si>
    <t>mg/day</t>
  </si>
  <si>
    <t>3A01570000</t>
  </si>
  <si>
    <t>3A015000000499926</t>
  </si>
  <si>
    <t>3A01580000</t>
  </si>
  <si>
    <t>血液像検査</t>
  </si>
  <si>
    <t>2A040000001930102</t>
  </si>
  <si>
    <t>ヘマトクリット値</t>
  </si>
  <si>
    <t>2A020161001930149</t>
  </si>
  <si>
    <t>2A040</t>
  </si>
  <si>
    <t>自動血球算定装置</t>
  </si>
  <si>
    <t>2A030000001930101</t>
  </si>
  <si>
    <t>血色素量(ヘモグロビン値)</t>
  </si>
  <si>
    <t>2A030</t>
  </si>
  <si>
    <t>血色素量</t>
  </si>
  <si>
    <t>2A020000001930101</t>
  </si>
  <si>
    <t>赤血球数</t>
  </si>
  <si>
    <t>万/mm3</t>
  </si>
  <si>
    <t>10*4/mm3</t>
  </si>
  <si>
    <t>2A020</t>
  </si>
  <si>
    <t>貧血検査(実施理由)</t>
  </si>
  <si>
    <t>2A021</t>
  </si>
  <si>
    <t>貧血検査</t>
  </si>
  <si>
    <t>詳細な健診の項目として貧血検査を実施した場合は必須</t>
  </si>
  <si>
    <t>2A060000001930101</t>
  </si>
  <si>
    <t>MCV</t>
  </si>
  <si>
    <t>ｆｌ</t>
  </si>
  <si>
    <t>fl</t>
  </si>
  <si>
    <t>2A060</t>
  </si>
  <si>
    <t>ＭＣＶ</t>
  </si>
  <si>
    <t>2A070000001930101</t>
  </si>
  <si>
    <t>MCH</t>
  </si>
  <si>
    <t>pg</t>
  </si>
  <si>
    <t>2A070</t>
  </si>
  <si>
    <t>ＭＣＨ</t>
  </si>
  <si>
    <t>2A080000001930101</t>
  </si>
  <si>
    <t>MCHC</t>
  </si>
  <si>
    <t>2A080</t>
  </si>
  <si>
    <t>ＭＣＨＣ</t>
  </si>
  <si>
    <t>2A010000001930101</t>
  </si>
  <si>
    <t>白血球数</t>
  </si>
  <si>
    <t>NNNNNNN</t>
  </si>
  <si>
    <t>/mm3</t>
  </si>
  <si>
    <t>2A010</t>
  </si>
  <si>
    <t>2A050000001930101</t>
  </si>
  <si>
    <t>血小板数</t>
  </si>
  <si>
    <t>2A050</t>
  </si>
  <si>
    <t>がん検診・生体検査等</t>
  </si>
  <si>
    <t>9A110160700000011</t>
  </si>
  <si>
    <t>心電図(所見の有無)</t>
  </si>
  <si>
    <t>9A110161000000049</t>
  </si>
  <si>
    <t>9A110</t>
  </si>
  <si>
    <t>心電図</t>
  </si>
  <si>
    <t>9A110160800000049</t>
  </si>
  <si>
    <t>心電図(所見)</t>
  </si>
  <si>
    <t>9A110161600000011</t>
  </si>
  <si>
    <t>心電図(対象者）</t>
  </si>
  <si>
    <t>1.2.392.200119.6.18120</t>
  </si>
  <si>
    <t>1：検査結果による心電図検査対象者
2：不整脈による心電図検査対象者
※詳細健診以外で実施し値を出現させるときは0（ゼロ）を入力する</t>
  </si>
  <si>
    <t>心電図(実施理由)</t>
  </si>
  <si>
    <t>詳細な健診の項目として心電図検査を実施した場合は必須</t>
  </si>
  <si>
    <t>9N201000000000011</t>
  </si>
  <si>
    <t>胸部Ｘ線検査(がん:直接撮影)</t>
  </si>
  <si>
    <t>9N211161100000049</t>
  </si>
  <si>
    <t>9N209</t>
  </si>
  <si>
    <t>胸部エックス線検査（がん：直接撮影）</t>
  </si>
  <si>
    <t>9N20110000</t>
  </si>
  <si>
    <t>1：直接撮影</t>
  </si>
  <si>
    <t>1.2.392.200119.6.2140</t>
  </si>
  <si>
    <t>1：A、2：B、3：C、4：D、5：E</t>
  </si>
  <si>
    <t>9N206160700000011</t>
  </si>
  <si>
    <t>胸部Ｘ線検査(一般:直接撮影)(所見の有無)</t>
  </si>
  <si>
    <t>9N206</t>
  </si>
  <si>
    <t>胸部エックス線検査（一般：直接撮影）</t>
  </si>
  <si>
    <t>9N20610000</t>
  </si>
  <si>
    <t>1：所見あり、2：所見なし,3：要再撮影</t>
  </si>
  <si>
    <t>9N206160800000049</t>
  </si>
  <si>
    <t>胸部Ｘ線検査(一般:直接撮影)(所見)</t>
  </si>
  <si>
    <t>胸部Ｘ線検査(直接撮影)(撮影年月日)</t>
  </si>
  <si>
    <t>年月日</t>
  </si>
  <si>
    <t>9N211</t>
  </si>
  <si>
    <t>胸部エックス線検査（直接撮影）</t>
  </si>
  <si>
    <t>9N21110000</t>
  </si>
  <si>
    <t>yyyymmdd</t>
  </si>
  <si>
    <t>9N211161200000049</t>
  </si>
  <si>
    <t>胸部Ｘ線検査(直接撮影)(フィルム番号)</t>
  </si>
  <si>
    <t>9N216000000000011</t>
  </si>
  <si>
    <t>胸部Ｘ線検査(がん:間接撮影)</t>
  </si>
  <si>
    <t>9N226161100000049</t>
  </si>
  <si>
    <t>9N216</t>
  </si>
  <si>
    <t>胸部エックス線検査（がん：間接撮影）</t>
  </si>
  <si>
    <t>9N21620000</t>
  </si>
  <si>
    <t>2：間接撮影</t>
  </si>
  <si>
    <t>9N221160700000011</t>
  </si>
  <si>
    <t>胸部Ｘ線検査(一般:間接撮影)(所見の有無)</t>
  </si>
  <si>
    <t>9N221</t>
  </si>
  <si>
    <t>胸部エックス線検査（一般：間接撮影）</t>
  </si>
  <si>
    <t>9N22120000</t>
  </si>
  <si>
    <t>1：所見あり、2：所見なし、3：要再撮影</t>
  </si>
  <si>
    <t>9N221160800000049</t>
  </si>
  <si>
    <t>胸部Ｘ線検査(一般:間接撮影)(所見)</t>
  </si>
  <si>
    <t>胸部Ｘ線検査(間接撮影)(撮影年月日)</t>
  </si>
  <si>
    <t>9N226</t>
  </si>
  <si>
    <t>胸部エックス線検査（間接撮影）</t>
  </si>
  <si>
    <t>9N22620000</t>
  </si>
  <si>
    <t>9N226161200000049</t>
  </si>
  <si>
    <t>胸部Ｘ線検査(間接撮影)(フィルム番号)</t>
  </si>
  <si>
    <t>6A010160706170411</t>
  </si>
  <si>
    <t>喀痰検査 (塗抹鏡検 一般細菌)(所見の有無)</t>
  </si>
  <si>
    <t>6A010</t>
  </si>
  <si>
    <t>喀痰検査 （塗抹鏡検　一般細菌）</t>
  </si>
  <si>
    <t>6A010160806170449</t>
  </si>
  <si>
    <t>喀痰検査 (塗抹鏡検 一般細菌)(所見)</t>
  </si>
  <si>
    <t>6A205000006171711</t>
  </si>
  <si>
    <t>喀痰検査(塗抹鏡検 抗酸菌)</t>
  </si>
  <si>
    <t>6A205</t>
  </si>
  <si>
    <t>喀痰検査（塗抹鏡検　抗酸菌）</t>
  </si>
  <si>
    <t>1：－、2：±、3：＋、4：2＋、5：3＋</t>
  </si>
  <si>
    <t>6A205165606171711</t>
  </si>
  <si>
    <t xml:space="preserve">喀痰検査(ガフキー号数)   </t>
  </si>
  <si>
    <t>NN</t>
  </si>
  <si>
    <t>1.2.392.200119.6.2131</t>
  </si>
  <si>
    <t>1：0号、2：1号、3：2号、4：3号、5：4号、6：5号、7：6号、8：7号、9：8号、10：9号、11：10号</t>
  </si>
  <si>
    <t>7A010000006143311</t>
  </si>
  <si>
    <t>喀痰細胞診検査</t>
  </si>
  <si>
    <t>7A010</t>
  </si>
  <si>
    <t>1.2.392.200119.6.2130</t>
  </si>
  <si>
    <t>9N251000000000011</t>
  </si>
  <si>
    <t>胸部CT検査(がん)</t>
  </si>
  <si>
    <t>9N251161100000049</t>
  </si>
  <si>
    <t>9N251</t>
  </si>
  <si>
    <t>胸部ＣＴ検査（がん）</t>
  </si>
  <si>
    <t>9N251160700000011</t>
  </si>
  <si>
    <t>胸部CT検査(所見の有無)</t>
  </si>
  <si>
    <t>9N251160800000049</t>
  </si>
  <si>
    <t>胸部CT検査(所見)</t>
  </si>
  <si>
    <t>胸部CT検査(撮影年月日)</t>
  </si>
  <si>
    <t>9N251161200000049</t>
  </si>
  <si>
    <t>胸部CT検査(フィルム番号)</t>
  </si>
  <si>
    <t>9N256160700000011</t>
  </si>
  <si>
    <t>上部消化管Ｘ線(直接撮影)(所見の有無)</t>
  </si>
  <si>
    <t>9N256161100000049</t>
  </si>
  <si>
    <t>9N256</t>
  </si>
  <si>
    <t>上部消化管エックス線（直接撮影）</t>
  </si>
  <si>
    <t>9N256160800000049</t>
  </si>
  <si>
    <t>上部消化管Ｘ線(直接撮影)(所見)</t>
  </si>
  <si>
    <t>上部消化管Ｘ線(直接撮影)(撮影年月日)</t>
  </si>
  <si>
    <t>9N256161200000049</t>
  </si>
  <si>
    <t>上部消化管Ｘ線(直接撮影)(フィルム番号)</t>
  </si>
  <si>
    <t>9N261160700000011</t>
  </si>
  <si>
    <t>上部消化管Ｘ線(間接撮影)(所見の有無)</t>
  </si>
  <si>
    <t>9N261161100000049</t>
  </si>
  <si>
    <t>9N261</t>
  </si>
  <si>
    <t>上部消化管エックス線（間接撮影）</t>
  </si>
  <si>
    <t>9N261160800000049</t>
  </si>
  <si>
    <t>上部消化管Ｘ線(間接撮影)(所見)</t>
  </si>
  <si>
    <t>上部消化管Ｘ線(間接撮影)(撮影年月日)</t>
  </si>
  <si>
    <t>9N261161200000049</t>
  </si>
  <si>
    <t>上部消化管Ｘ線(間接撮影)(フィルム番号)</t>
  </si>
  <si>
    <t>9N266160700000011</t>
  </si>
  <si>
    <t>上部消化管内視鏡検査(所見の有無)</t>
  </si>
  <si>
    <t>9N266</t>
  </si>
  <si>
    <t>上部消化管内視鏡検査</t>
  </si>
  <si>
    <t>9N266160800000049</t>
  </si>
  <si>
    <t>上部消化管内視鏡検査(所見)</t>
  </si>
  <si>
    <t>3B339000002399811</t>
  </si>
  <si>
    <t>ペプシノゲン</t>
  </si>
  <si>
    <t>3B339</t>
  </si>
  <si>
    <t>方法問わず</t>
  </si>
  <si>
    <t>1.2.392.200119.6.2100</t>
  </si>
  <si>
    <t>1：陽性、2：陰性</t>
  </si>
  <si>
    <t>9F130160700000011</t>
  </si>
  <si>
    <t>腹部超音波(所見の有無)</t>
  </si>
  <si>
    <t>9F130</t>
  </si>
  <si>
    <t>腹部超音波</t>
  </si>
  <si>
    <t>9F130160800000049</t>
  </si>
  <si>
    <t>腹部超音波(所見)</t>
  </si>
  <si>
    <t>9N271160700000011</t>
  </si>
  <si>
    <t>婦人科診察(所見の有無)</t>
  </si>
  <si>
    <t>9N271</t>
  </si>
  <si>
    <t>婦人科診察</t>
  </si>
  <si>
    <t>9N271160800000049</t>
  </si>
  <si>
    <t>婦人科診察(所見)</t>
  </si>
  <si>
    <t>9N276160700000011</t>
  </si>
  <si>
    <t>乳房視触診(所見の有無)</t>
  </si>
  <si>
    <t>9N276</t>
  </si>
  <si>
    <t>乳房視触診</t>
  </si>
  <si>
    <t>9N276160800000049</t>
  </si>
  <si>
    <t>乳房視触診(所見)</t>
  </si>
  <si>
    <t>9N281160700000011</t>
  </si>
  <si>
    <t>乳房画像診断(マンモグラフィー)(所見の有無)</t>
  </si>
  <si>
    <t>9N281</t>
  </si>
  <si>
    <t>乳房画像診断（マンモグラフィー）</t>
  </si>
  <si>
    <t>1：所見あり、2：所見なし、3：要再撮影、4：マンモグラフィー不適</t>
  </si>
  <si>
    <t>9N281160800000049</t>
  </si>
  <si>
    <t>乳房画像診断(マンモグラフィー)(所見)</t>
  </si>
  <si>
    <t>9F140160700000011</t>
  </si>
  <si>
    <t>乳房超音波検査(所見の有無)</t>
  </si>
  <si>
    <t>9F140</t>
  </si>
  <si>
    <t>乳房超音波検査</t>
  </si>
  <si>
    <t>9F140160800000049</t>
  </si>
  <si>
    <t>乳房超音波検査(所見)</t>
  </si>
  <si>
    <t>9N291160700000011</t>
  </si>
  <si>
    <t>子宮頚部視診(所見の有無)</t>
  </si>
  <si>
    <t>9N291</t>
  </si>
  <si>
    <t>子宮頚部視診</t>
  </si>
  <si>
    <t>9N291160800000049</t>
  </si>
  <si>
    <t>子宮頚部視診(所見)</t>
  </si>
  <si>
    <t>9N296160700000011</t>
  </si>
  <si>
    <t>子宮内診(所見の有無)</t>
  </si>
  <si>
    <t>9N296</t>
  </si>
  <si>
    <t>子宮内診</t>
  </si>
  <si>
    <t>9N296160800000049</t>
  </si>
  <si>
    <t>子宮内診(所見)</t>
  </si>
  <si>
    <t>7A021165008543311</t>
  </si>
  <si>
    <t>子宮頸部細胞診 (細胞診婦人科材料)(日母分類)</t>
  </si>
  <si>
    <t>7A021</t>
  </si>
  <si>
    <t>子宮頸部細胞診 (細胞診婦人科材料）</t>
  </si>
  <si>
    <t>1.2.392.200119.6.2120</t>
  </si>
  <si>
    <t>1：classI、2：classⅡ、3：classⅢa、4：classⅢb、5：classⅣ、6：classⅤ、7：検体不良</t>
  </si>
  <si>
    <t>7A021165208543311</t>
  </si>
  <si>
    <t>子宮頸部細胞診 (細胞診婦人科材料)(ベセスダシステム2001)</t>
  </si>
  <si>
    <t>1.2.392.200119.6.18100</t>
  </si>
  <si>
    <t>1：NILM、2：ASC-US、3：ASC-H、4：LSIL、5：HSIL、6：SCC、7：AGC、8：AIS、9：Adenocarcinoma、10：other</t>
  </si>
  <si>
    <t>7A022000008543311</t>
  </si>
  <si>
    <t>子宮体部細胞診 (細胞診婦人科材料)</t>
  </si>
  <si>
    <t>7A022</t>
  </si>
  <si>
    <t>子宮体部細胞診 (細胞診婦人科材料）</t>
  </si>
  <si>
    <t>1.2.392.200119.6.2122</t>
  </si>
  <si>
    <t>1：陽性、2：疑陽性、3：陰性、4：検体不良</t>
  </si>
  <si>
    <t>9Z771160700000011</t>
  </si>
  <si>
    <t xml:space="preserve">直腸肛門機能(2項目以上)(所見の有無)   </t>
  </si>
  <si>
    <t>9Z771</t>
  </si>
  <si>
    <t>直腸肛門機能（2項目以上）</t>
  </si>
  <si>
    <t>9Z771160800000049</t>
  </si>
  <si>
    <t xml:space="preserve">直腸肛門機能(2項目以上)(所見)  </t>
  </si>
  <si>
    <t>9Z770160700000011</t>
  </si>
  <si>
    <t>直腸肛門機能(1項目)(所見の有無)</t>
  </si>
  <si>
    <t>9Z770</t>
  </si>
  <si>
    <t>直腸肛門機能（1項目）</t>
  </si>
  <si>
    <t>9Z770160800000049</t>
  </si>
  <si>
    <t>直腸肛門機能(1項目)(所見)</t>
  </si>
  <si>
    <t>1B030000001599811</t>
  </si>
  <si>
    <t>便潜血</t>
  </si>
  <si>
    <t>1B030</t>
  </si>
  <si>
    <t>5D305000002399811</t>
  </si>
  <si>
    <t>PSA(前立腺特異抗原)</t>
  </si>
  <si>
    <t>5D305</t>
  </si>
  <si>
    <t>ＰＳＡ（前立腺特異抗原）</t>
  </si>
  <si>
    <t>9C310000000000001</t>
  </si>
  <si>
    <t>肺機能検査(努力肺活量)</t>
  </si>
  <si>
    <t>ｌ</t>
  </si>
  <si>
    <t>L</t>
  </si>
  <si>
    <t>9C310</t>
  </si>
  <si>
    <t>肺機能検査（努力肺活量）</t>
  </si>
  <si>
    <t>9C320000000000001</t>
  </si>
  <si>
    <t>肺機能検査(1秒量)</t>
  </si>
  <si>
    <t>9C320</t>
  </si>
  <si>
    <t>肺機能検査（１秒量）</t>
  </si>
  <si>
    <t>9C330000000000002</t>
  </si>
  <si>
    <t>肺機能検査(1秒率)</t>
  </si>
  <si>
    <t>9C330</t>
  </si>
  <si>
    <t>肺機能検査（１秒率）</t>
  </si>
  <si>
    <t>9C380000000000002</t>
  </si>
  <si>
    <t>肺機能検査(%VC)</t>
  </si>
  <si>
    <t>9C380</t>
  </si>
  <si>
    <t>肺機能検査（％ＶＣ）</t>
  </si>
  <si>
    <t>9E160162100000001</t>
  </si>
  <si>
    <t>視力(右)</t>
  </si>
  <si>
    <t>N.NN</t>
  </si>
  <si>
    <t>9E160</t>
  </si>
  <si>
    <t>9E160162500000001</t>
  </si>
  <si>
    <t>視力(右:矯正)</t>
  </si>
  <si>
    <t>9E160162200000001</t>
  </si>
  <si>
    <t>視力(左)</t>
  </si>
  <si>
    <t>9E160162600000001</t>
  </si>
  <si>
    <t>視力(左:矯正)</t>
  </si>
  <si>
    <t>9D100163100000011</t>
  </si>
  <si>
    <t>聴力(右:1000Hz)</t>
  </si>
  <si>
    <t>9D100</t>
  </si>
  <si>
    <t>聴力</t>
  </si>
  <si>
    <t>9D100163200000011</t>
  </si>
  <si>
    <t>聴力(右:4000Hz)</t>
  </si>
  <si>
    <t>9D100163500000011</t>
  </si>
  <si>
    <t>聴力(左:1000Hz)</t>
  </si>
  <si>
    <t>9D100163600000011</t>
  </si>
  <si>
    <t>聴力(左:4000Hz)</t>
  </si>
  <si>
    <t>9D100164000000011</t>
  </si>
  <si>
    <t>聴力（検査方法）</t>
  </si>
  <si>
    <t>1.2.392.200119.6.2301</t>
  </si>
  <si>
    <t>1：オージオメトリー、2：その他</t>
  </si>
  <si>
    <t>9D100160900000049</t>
  </si>
  <si>
    <t>聴力(その他の所見)</t>
  </si>
  <si>
    <t>9E100166000000011</t>
  </si>
  <si>
    <t>眼底検査(キースワグナー分類)</t>
  </si>
  <si>
    <t>9E100161000000049</t>
  </si>
  <si>
    <t>9E100</t>
  </si>
  <si>
    <t>眼底検査</t>
  </si>
  <si>
    <t>1.2.392.200119.6.2110</t>
  </si>
  <si>
    <t>1：0、2：Ⅰ、3：Ⅱa、4：Ⅱb、5：Ⅲ、6：Ⅳ</t>
  </si>
  <si>
    <t>9E100166100000011</t>
  </si>
  <si>
    <t>眼底検査(シェイエ分類:H)</t>
  </si>
  <si>
    <t>1.2.392.200119.6.2111</t>
  </si>
  <si>
    <t>1：0、2：1、3：2、4：3、5：4</t>
  </si>
  <si>
    <t>9E100166200000011</t>
  </si>
  <si>
    <t>眼底検査(シェイエ分類:S)</t>
  </si>
  <si>
    <t>1.2.392.200119.6.2112</t>
  </si>
  <si>
    <t>9E100166300000011</t>
  </si>
  <si>
    <t>眼底検査(SCOTT分類)</t>
  </si>
  <si>
    <t>1.2.392.200119.6.2113</t>
  </si>
  <si>
    <t>1：Ⅰ(a)、2：Ⅰ(b)、3：Ⅱ、4：Ⅲ(a)、5：Ⅲ(b)、6：Ⅳ、7：Ⅴ(a)、8：Ⅴ(b)、9：Ⅵ</t>
  </si>
  <si>
    <t>9E100166600000011</t>
  </si>
  <si>
    <t>眼底検査（Wong-Mitchell分類）</t>
  </si>
  <si>
    <t>1.2.392.200119.6.18080</t>
  </si>
  <si>
    <t>1：所見なし、2：軽度、3：中等度、4：重度</t>
  </si>
  <si>
    <t>9E100166500000011</t>
  </si>
  <si>
    <t>眼底検査（改変Davis分類）</t>
  </si>
  <si>
    <t>1.2.392.200119.6.18090</t>
  </si>
  <si>
    <t>1：網膜症なし、2：単純網膜症、3：増殖前網膜症、4：増殖網膜症</t>
  </si>
  <si>
    <t>9E100160900000049</t>
  </si>
  <si>
    <t>眼底検査(その他の所見)</t>
  </si>
  <si>
    <t>その他の所見の判定方法を用いている場合については、本欄に所見を記載すること。また、SCOTT分類を用いている場合で異常がない場合においては、その旨を記載すること。</t>
  </si>
  <si>
    <t>9E100161600000011</t>
  </si>
  <si>
    <t>眼底検査（対象者）</t>
  </si>
  <si>
    <t>1.2.392.200119.6.18130</t>
  </si>
  <si>
    <t>1：検査結果による眼底検査対象者
※詳細な健診の項目として実施しない場合で、値を出現させるときは0（ゼロ）を入力する</t>
  </si>
  <si>
    <t>眼底検査（実施理由）</t>
  </si>
  <si>
    <t>詳細な健診の項目として眼底検査を実施した場合は必須
前年度の検査結果（血糖検査の値）に基づき対象者を選定した場合は、「前年度」と記載する</t>
  </si>
  <si>
    <t>9E105162100000001</t>
  </si>
  <si>
    <t>眼圧検査(右)</t>
  </si>
  <si>
    <t>9E105</t>
  </si>
  <si>
    <t>眼圧検査</t>
  </si>
  <si>
    <t>9E105162200000001</t>
  </si>
  <si>
    <t>眼圧検査(左)</t>
  </si>
  <si>
    <t>その他医療保険者等が任意に行う検査</t>
  </si>
  <si>
    <t>5C070000002306201</t>
  </si>
  <si>
    <t>CRP</t>
  </si>
  <si>
    <t>5C070</t>
  </si>
  <si>
    <t>ＣＲＰ</t>
  </si>
  <si>
    <t>5C07010000</t>
  </si>
  <si>
    <t>1：可視吸光光度法(ラテックス凝集比濁法)</t>
  </si>
  <si>
    <t>5C070000002306301</t>
  </si>
  <si>
    <t>5C07020000</t>
  </si>
  <si>
    <t>2：可視吸光光度法(免役比濁法)</t>
  </si>
  <si>
    <t>5C070000002399901</t>
  </si>
  <si>
    <t>5C07030009</t>
  </si>
  <si>
    <t>5H010000001910111</t>
  </si>
  <si>
    <t>血液型(ABO)</t>
  </si>
  <si>
    <t>5H010</t>
  </si>
  <si>
    <t>血液型（ＡＢＯ）</t>
  </si>
  <si>
    <t>5H01010000</t>
  </si>
  <si>
    <t>1：試験管法　カラム凝集法</t>
  </si>
  <si>
    <t>1.2.392.200119.6.2115</t>
  </si>
  <si>
    <t>1：A、2：B、3：AB、4：O</t>
  </si>
  <si>
    <t>5H010000001999911</t>
  </si>
  <si>
    <t>5H01020009</t>
  </si>
  <si>
    <t>5H020000001910111</t>
  </si>
  <si>
    <t>血液型(Rh)</t>
  </si>
  <si>
    <t>5H020</t>
  </si>
  <si>
    <t>血液型（Ｒｈ）</t>
  </si>
  <si>
    <t>5H02010000</t>
  </si>
  <si>
    <t>1.2.392.200119.6.2116</t>
  </si>
  <si>
    <t>1：＋、2：－</t>
  </si>
  <si>
    <t>5H020000001999911</t>
  </si>
  <si>
    <t>5H02020009</t>
  </si>
  <si>
    <t>5E071000002399811</t>
  </si>
  <si>
    <t>梅毒反応</t>
  </si>
  <si>
    <t>5E071</t>
  </si>
  <si>
    <t>5F016141002399811</t>
  </si>
  <si>
    <t>HBs抗原</t>
  </si>
  <si>
    <t>5F016</t>
  </si>
  <si>
    <t>ＨＢｓ抗原</t>
  </si>
  <si>
    <t>5F360149502399811</t>
  </si>
  <si>
    <t>HCV抗体</t>
  </si>
  <si>
    <t>5F360</t>
  </si>
  <si>
    <t xml:space="preserve">ＨＣＶ抗体     </t>
  </si>
  <si>
    <t>5F360149702399811</t>
  </si>
  <si>
    <t>HCV抗体(力価)</t>
  </si>
  <si>
    <t>ＨＣＶ抗体</t>
  </si>
  <si>
    <t>1.2.392.200119.6.2103</t>
  </si>
  <si>
    <t>1：陰性、2：低力価、3：中力価、4：高力価</t>
  </si>
  <si>
    <t>5F360150002399811</t>
  </si>
  <si>
    <t>HCV抗原検査</t>
  </si>
  <si>
    <t>ＨＣＶ抗原</t>
  </si>
  <si>
    <t>5F360145002399811</t>
  </si>
  <si>
    <t>HCV核酸増幅検査</t>
  </si>
  <si>
    <t>9N401000000000011</t>
  </si>
  <si>
    <t>C型肝炎ウイルス検診の判定</t>
  </si>
  <si>
    <t>9N401</t>
  </si>
  <si>
    <t>Ｃ型肝炎ウイルス検診の判定</t>
  </si>
  <si>
    <t>1.2.392.200119.6.2150</t>
  </si>
  <si>
    <t>1：現在、C型肝炎ウイルスに感染していない可能性が極めて高い、2：現在、C型肝炎ウイルスに感染している可能性が極めて高い</t>
  </si>
  <si>
    <t>9N406000000000049</t>
  </si>
  <si>
    <t>その他の法定特殊健康診断</t>
  </si>
  <si>
    <t>9N406</t>
  </si>
  <si>
    <t>9N411000000000049</t>
  </si>
  <si>
    <t>その他の法定検査</t>
  </si>
  <si>
    <t>9N411</t>
  </si>
  <si>
    <t>9N416000000000049</t>
  </si>
  <si>
    <t>その他の検査</t>
  </si>
  <si>
    <t>9N416</t>
  </si>
  <si>
    <t>〇</t>
  </si>
  <si>
    <t>医師の判断</t>
  </si>
  <si>
    <t>9N501000000000011</t>
  </si>
  <si>
    <t>メタボリックシンドローム判定</t>
  </si>
  <si>
    <t>9N501</t>
  </si>
  <si>
    <t>1.2.392.200119.6.1008</t>
  </si>
  <si>
    <t>1：基準該当、2：予備群該当、3：非該当、4：判定不能</t>
  </si>
  <si>
    <t>9N506000000000011</t>
  </si>
  <si>
    <t>保健指導レベル</t>
  </si>
  <si>
    <t>9N506</t>
  </si>
  <si>
    <t>1.2.392.200119.6.3001</t>
  </si>
  <si>
    <t>1：積極的支援、2：動機付け支援、3：なし（情報提供）、4：判定不能</t>
  </si>
  <si>
    <t>9N511000000000049</t>
  </si>
  <si>
    <t>医師の診断(判定)</t>
  </si>
  <si>
    <t>9N516000000000049</t>
  </si>
  <si>
    <t>9N511</t>
  </si>
  <si>
    <t>医師の診断（判定）</t>
  </si>
  <si>
    <t>☆</t>
  </si>
  <si>
    <t>9N512000000000011</t>
  </si>
  <si>
    <t>検査未実施の理由</t>
  </si>
  <si>
    <t>9N512</t>
  </si>
  <si>
    <t>1.2.392.200119.6.24080</t>
  </si>
  <si>
    <t>1：生理中、2：腎疾患等の基礎疾患があるため排尿障害を有する、3：その他
受診者の事情(生理中等)により検査を実施できなかった場合の理由の記録</t>
  </si>
  <si>
    <t>健康診断を実施した医師の氏名</t>
  </si>
  <si>
    <t>9N516</t>
  </si>
  <si>
    <t>XMLでは医師名は独立項目として扱わず、診断所見等の項目のauthor要素として記述（以下＊印、同じ）</t>
  </si>
  <si>
    <t>9N521000000000049</t>
  </si>
  <si>
    <t>医師の意見</t>
  </si>
  <si>
    <t>9N526000000000049</t>
  </si>
  <si>
    <t>9N521</t>
  </si>
  <si>
    <t>意見を述べた医師の氏名</t>
  </si>
  <si>
    <t>9N526</t>
  </si>
  <si>
    <t>＊</t>
  </si>
  <si>
    <t>9N531000000000049</t>
  </si>
  <si>
    <t>歯科医師による健康診断</t>
  </si>
  <si>
    <t>9N536000000000049</t>
  </si>
  <si>
    <t>9N531</t>
  </si>
  <si>
    <t>健康診断を実施した歯科医師の氏名</t>
  </si>
  <si>
    <t>9N536</t>
  </si>
  <si>
    <t>9N541000000000049</t>
  </si>
  <si>
    <t>歯科医師の意見</t>
  </si>
  <si>
    <t>9N546000000000049</t>
  </si>
  <si>
    <t>9N541</t>
  </si>
  <si>
    <t>意見を述べた歯科医師の氏名</t>
  </si>
  <si>
    <t>9N546</t>
  </si>
  <si>
    <t>9N551000000000049</t>
  </si>
  <si>
    <t>9N551</t>
  </si>
  <si>
    <t>9N556000000000011</t>
  </si>
  <si>
    <t>生活機能評価の結果1</t>
  </si>
  <si>
    <t>9N556</t>
  </si>
  <si>
    <t>生活機能評価の結果１</t>
  </si>
  <si>
    <t>1.2.392.200119.6.2501</t>
  </si>
  <si>
    <t>1：介護予防事業の利用が望ましい、2：医学的な理由により次の介護予防の利用は不適当、3：生活機能の低下なし</t>
  </si>
  <si>
    <t>9N561000000000011</t>
  </si>
  <si>
    <t>生活機能評価の結果2</t>
  </si>
  <si>
    <t>9N561</t>
  </si>
  <si>
    <t>生活機能評価の結果２</t>
  </si>
  <si>
    <t>1.2.392.200119.6.2502</t>
  </si>
  <si>
    <t>1：すべて、2：運動器の機能向上、3：栄養改善、4：口腔機能の向上、5その他(上記で2を選択したときに記載)</t>
  </si>
  <si>
    <t>9N566000000000049</t>
  </si>
  <si>
    <t>生活機能評価の結果3</t>
  </si>
  <si>
    <t>9N566</t>
  </si>
  <si>
    <t>生活機能評価の結果３</t>
  </si>
  <si>
    <t>上記でその他を記載したとき記載</t>
  </si>
  <si>
    <t>9N571000000000049</t>
  </si>
  <si>
    <t>医師の診断(判定)(生活機能評価)</t>
  </si>
  <si>
    <t>9N576000000000049</t>
  </si>
  <si>
    <t>9N571</t>
  </si>
  <si>
    <t>医師の診断（判定）（生活機能評価）</t>
  </si>
  <si>
    <t>診断をした医師の氏名</t>
  </si>
  <si>
    <t>9N576</t>
  </si>
  <si>
    <t>9N581161300000011</t>
  </si>
  <si>
    <t>医師の診断(肺がん検診)(コード)</t>
  </si>
  <si>
    <t>9N586000000000049</t>
  </si>
  <si>
    <t>9N581</t>
  </si>
  <si>
    <t>医師の診断（肺がん検診）（コード）</t>
  </si>
  <si>
    <t>1.2.392.200119.6.2141</t>
  </si>
  <si>
    <t>1：精密検査必要、2：精密検査不要</t>
  </si>
  <si>
    <t>9N581161400000049</t>
  </si>
  <si>
    <t>医師の診断(肺がん検診)(自由記載)</t>
  </si>
  <si>
    <t>医師の診断（肺がん検診）（自由記載）</t>
  </si>
  <si>
    <t>9N586</t>
  </si>
  <si>
    <t>9N591161300000011</t>
  </si>
  <si>
    <t>医師の診断(胃がん検診)(コード)</t>
  </si>
  <si>
    <t>9N596000000000049</t>
  </si>
  <si>
    <t>9N591</t>
  </si>
  <si>
    <t>医師の診断（胃がん検診）（コード）</t>
  </si>
  <si>
    <t>9N591161400000049</t>
  </si>
  <si>
    <t>医師の診断(胃がん検診)(自由記載)</t>
  </si>
  <si>
    <t>医師の診断（胃がん検診）（自由記載）</t>
  </si>
  <si>
    <t>9N596</t>
  </si>
  <si>
    <t>9N601161300000011</t>
  </si>
  <si>
    <t>医師の診断(乳がん検診)(コード)</t>
  </si>
  <si>
    <t>9N606000000000049</t>
  </si>
  <si>
    <t>9N601</t>
  </si>
  <si>
    <t>医師の診断（乳がん検診）（コード）</t>
  </si>
  <si>
    <t>9N601161400000049</t>
  </si>
  <si>
    <t>医師の診断(乳がん検診)(自由記載)</t>
  </si>
  <si>
    <t>医師の診断（乳がん検診）（自由記載）</t>
  </si>
  <si>
    <t>9N606</t>
  </si>
  <si>
    <t>9N611161300000011</t>
  </si>
  <si>
    <t>医師の診断(子宮がん検診)(コード)</t>
  </si>
  <si>
    <t>9N616000000000049</t>
  </si>
  <si>
    <t>9N611</t>
  </si>
  <si>
    <t>医師の診断（子宮がん検診）（コード）</t>
  </si>
  <si>
    <t>9N611161400000049</t>
  </si>
  <si>
    <t>医師の診断(子宮がん検診)(自由記載)</t>
  </si>
  <si>
    <t>医師の診断（子宮がん検診）（自由記載）</t>
  </si>
  <si>
    <t>9N616</t>
  </si>
  <si>
    <t>9N621161300000011</t>
  </si>
  <si>
    <t>医師の診断(大腸がん検診)(コード)</t>
  </si>
  <si>
    <t>9N626000000000049</t>
  </si>
  <si>
    <t>9N621</t>
  </si>
  <si>
    <t>医師の診断（大腸がん検診）（コード）</t>
  </si>
  <si>
    <t>9N621161400000049</t>
  </si>
  <si>
    <t>医師の診断(大腸がん検診)(自由記載)</t>
  </si>
  <si>
    <t>医師の診断（大腸がん検診）（自由記載）</t>
  </si>
  <si>
    <t>9N626</t>
  </si>
  <si>
    <t>9N631161300000011</t>
  </si>
  <si>
    <t>医師の診断(前立腺がん検診)(コード)</t>
  </si>
  <si>
    <t>9N636000000000049</t>
  </si>
  <si>
    <t>9N631</t>
  </si>
  <si>
    <t>医師の診断（前立腺がん検診）（コード）</t>
  </si>
  <si>
    <t>9N631161400000049</t>
  </si>
  <si>
    <t>医師の診断(前立腺がん検診)(自由記載)</t>
  </si>
  <si>
    <t>医師の診断（前立腺がん検診）（自由記載）</t>
  </si>
  <si>
    <t>9N636</t>
  </si>
  <si>
    <t>9N641000000000049</t>
  </si>
  <si>
    <t>医師の診断(その他)</t>
  </si>
  <si>
    <t>9N646000000000049</t>
  </si>
  <si>
    <t>9N641</t>
  </si>
  <si>
    <t>医師の診断（その他）</t>
  </si>
  <si>
    <t>9N646</t>
  </si>
  <si>
    <t>質問票</t>
  </si>
  <si>
    <t>9N701000000000011</t>
  </si>
  <si>
    <t>服薬1(血圧)</t>
  </si>
  <si>
    <t>9N701</t>
  </si>
  <si>
    <t>服薬１（血圧）</t>
  </si>
  <si>
    <t>1.2.392.200119.6.2003</t>
  </si>
  <si>
    <t>1：はい、2：いいえ</t>
  </si>
  <si>
    <t>9N701167000000049</t>
  </si>
  <si>
    <t>服薬1(血圧)(薬剤名)</t>
  </si>
  <si>
    <t>9N701167100000049</t>
  </si>
  <si>
    <t>服薬1(血圧)(服薬理由)</t>
  </si>
  <si>
    <t>9N702167200000049</t>
  </si>
  <si>
    <t>保険者再確認　服薬1（血圧）</t>
  </si>
  <si>
    <t>9N702</t>
  </si>
  <si>
    <t>服薬確認者（血圧）</t>
  </si>
  <si>
    <t>1.2.392.200119.6.24020</t>
  </si>
  <si>
    <t>1：質問票の記載違い(服薬中)を確認、2：健診以後に服薬開始を確認</t>
  </si>
  <si>
    <t>9N706000000000011</t>
  </si>
  <si>
    <t>服薬2(血糖)</t>
  </si>
  <si>
    <t>9N706</t>
  </si>
  <si>
    <t>服薬２（血糖）</t>
  </si>
  <si>
    <t>9N706167000000049</t>
  </si>
  <si>
    <t>服薬2(血糖)(薬剤名)</t>
  </si>
  <si>
    <t>9N706167100000049</t>
  </si>
  <si>
    <t>服薬2(血糖)(服薬理由)</t>
  </si>
  <si>
    <t>9N707167200000049</t>
  </si>
  <si>
    <t>保険者再確認　服薬2（血糖）</t>
  </si>
  <si>
    <t>9N707</t>
  </si>
  <si>
    <t>服薬確認者（血糖）</t>
  </si>
  <si>
    <t>9N711000000000011</t>
  </si>
  <si>
    <t>服薬3(脂質)</t>
  </si>
  <si>
    <t>9N711</t>
  </si>
  <si>
    <t>服薬３（脂質）</t>
  </si>
  <si>
    <t>9N711167000000049</t>
  </si>
  <si>
    <t>服薬3(脂質)(薬剤名)</t>
  </si>
  <si>
    <t>9N711167100000049</t>
  </si>
  <si>
    <t>服薬3(脂質)(服薬理由)</t>
  </si>
  <si>
    <t>9N712167200000049</t>
  </si>
  <si>
    <t>保険者再確認　服薬3（脂質）</t>
  </si>
  <si>
    <t>9N712</t>
  </si>
  <si>
    <t>服薬確認者（脂質）</t>
  </si>
  <si>
    <t>9N716000000000011</t>
  </si>
  <si>
    <t>既往歴1(脳血管)</t>
  </si>
  <si>
    <t>9N716</t>
  </si>
  <si>
    <t>既往歴１（脳血管）</t>
  </si>
  <si>
    <t>9N721000000000011</t>
  </si>
  <si>
    <t>既往歴2(心血管)</t>
  </si>
  <si>
    <t>9N721</t>
  </si>
  <si>
    <t>既往歴２（心血管）</t>
  </si>
  <si>
    <t>9N726000000000011</t>
  </si>
  <si>
    <t>既往歴3(腎不全･人工透析)</t>
  </si>
  <si>
    <t>9N726</t>
  </si>
  <si>
    <t>既往歴３（腎不全・人工透析）</t>
  </si>
  <si>
    <t>9N731000000000011</t>
  </si>
  <si>
    <t>貧血</t>
  </si>
  <si>
    <t>9N731</t>
  </si>
  <si>
    <t>9N736000000000011</t>
  </si>
  <si>
    <t>喫煙</t>
  </si>
  <si>
    <t>9N736</t>
  </si>
  <si>
    <t>1.2.392.200119.6.24060</t>
  </si>
  <si>
    <t>1：はい、2：以前は吸っていたが、最近1ヶ月間は吸っていない、3：いいえ</t>
  </si>
  <si>
    <t>9N741000000000011</t>
  </si>
  <si>
    <t>20歳からの体重変化</t>
  </si>
  <si>
    <t>9N741</t>
  </si>
  <si>
    <t>２０歳からの体重変化</t>
  </si>
  <si>
    <t>9N746000000000011</t>
  </si>
  <si>
    <t>30分以上の運動習慣</t>
  </si>
  <si>
    <t>9N746</t>
  </si>
  <si>
    <t>３０分以上の運動習慣</t>
  </si>
  <si>
    <t>9N751000000000011</t>
  </si>
  <si>
    <t>歩行又は身体活動</t>
  </si>
  <si>
    <t>9N751</t>
  </si>
  <si>
    <t>9N756000000000011</t>
  </si>
  <si>
    <t>歩行速度</t>
  </si>
  <si>
    <t>9N756</t>
  </si>
  <si>
    <t>9N872000000000011</t>
  </si>
  <si>
    <t>咀嚼</t>
  </si>
  <si>
    <t>9N872</t>
  </si>
  <si>
    <t>1.2.392.200119.6.18030</t>
  </si>
  <si>
    <t>1：何でも、2：かみにくい、3：ほとんどかめない</t>
  </si>
  <si>
    <t>9N766000000000011</t>
  </si>
  <si>
    <t>食べ方1(早食い等)</t>
  </si>
  <si>
    <t>9N766</t>
  </si>
  <si>
    <t>食べ方1（早食い等）</t>
  </si>
  <si>
    <t>1.2.392.200119.6.2004</t>
  </si>
  <si>
    <t>1：速い、2：ふつう、3：遅い</t>
  </si>
  <si>
    <t>9N771000000000011</t>
  </si>
  <si>
    <t>食べ方2(就寝前)</t>
  </si>
  <si>
    <t>9N771</t>
  </si>
  <si>
    <t>食べ方２（就寝前）</t>
  </si>
  <si>
    <t>9N782000000000011</t>
  </si>
  <si>
    <t>食べ方3(間食)</t>
  </si>
  <si>
    <t>9N782</t>
  </si>
  <si>
    <t>食べ方３（間食）</t>
  </si>
  <si>
    <t>1.2.392.200119.6.18040</t>
  </si>
  <si>
    <t>1：毎日、2：時々、3：ほとんど摂取しない</t>
  </si>
  <si>
    <t>9N781000000000011</t>
  </si>
  <si>
    <t>食習慣</t>
  </si>
  <si>
    <t>9N781</t>
  </si>
  <si>
    <t>9N786000000000011</t>
  </si>
  <si>
    <t>飲酒</t>
  </si>
  <si>
    <t>9N786</t>
  </si>
  <si>
    <t>1.2.392.200119.6.24040</t>
  </si>
  <si>
    <t>1：毎日、2：週5～6日、3：週3～4日、4：週1～2日、5：月に1～3日、6：月に1日未満、7：やめた、8：飲まない(飲めない)</t>
  </si>
  <si>
    <t>9N791000000000011</t>
  </si>
  <si>
    <t>飲酒量</t>
  </si>
  <si>
    <t>9N791</t>
  </si>
  <si>
    <t>1.2.392.200119.6.24050</t>
  </si>
  <si>
    <t>1：1合未満、2：1～2合未満、3：2～3合未満、4：3～5合未満、5：5合以上</t>
  </si>
  <si>
    <t>9N796000000000011</t>
  </si>
  <si>
    <t>睡眠</t>
  </si>
  <si>
    <t>9N796</t>
  </si>
  <si>
    <t>9N801000000000011</t>
  </si>
  <si>
    <t>生活習慣の改善</t>
  </si>
  <si>
    <t>9N801</t>
  </si>
  <si>
    <t>1.2.392.200119.6.2007</t>
  </si>
  <si>
    <t>1：意志なし、2：意志あり(6か月以内)、3：意志あり(近いうち)、4：取組済み(6ヶ月未満)、5：取組済み(6ヶ月以上)</t>
  </si>
  <si>
    <t>9N808000000000011</t>
  </si>
  <si>
    <t>特定保健指導の受診歴</t>
  </si>
  <si>
    <t>9N808</t>
  </si>
  <si>
    <t>保健指導の受診歴</t>
  </si>
  <si>
    <t>生活機能基本チェックリスト</t>
  </si>
  <si>
    <t>9N811000000000011</t>
  </si>
  <si>
    <t>生活機能問診1</t>
  </si>
  <si>
    <t>9N811</t>
  </si>
  <si>
    <t>1.2.392.200119.6.2008</t>
  </si>
  <si>
    <t>0：はい、1：いいえ</t>
  </si>
  <si>
    <t>9N816000000000011</t>
  </si>
  <si>
    <t>生活機能問診2</t>
  </si>
  <si>
    <t>9N816</t>
  </si>
  <si>
    <t>9N821000000000011</t>
  </si>
  <si>
    <t>生活機能問診3</t>
  </si>
  <si>
    <t>9N821</t>
  </si>
  <si>
    <t>9N826000000000011</t>
  </si>
  <si>
    <t>生活機能問診4</t>
  </si>
  <si>
    <t>9N826</t>
  </si>
  <si>
    <t>9N831000000000011</t>
  </si>
  <si>
    <t>生活機能問診5</t>
  </si>
  <si>
    <t>9N831</t>
  </si>
  <si>
    <t>9N836000000000011</t>
  </si>
  <si>
    <t>生活機能問診6</t>
  </si>
  <si>
    <t>9N836</t>
  </si>
  <si>
    <t>9N841000000000011</t>
  </si>
  <si>
    <t>生活機能問診7</t>
  </si>
  <si>
    <t>9N841</t>
  </si>
  <si>
    <t>9N846000000000011</t>
  </si>
  <si>
    <t>生活機能問診8</t>
  </si>
  <si>
    <t>9N846</t>
  </si>
  <si>
    <t>9N851000000000011</t>
  </si>
  <si>
    <t>生活機能問診9</t>
  </si>
  <si>
    <t>9N851</t>
  </si>
  <si>
    <t>1.2.392.200119.6.2009</t>
  </si>
  <si>
    <t>1：はい、0：いいえ</t>
  </si>
  <si>
    <t>9N856000000000011</t>
  </si>
  <si>
    <t>生活機能問診10</t>
  </si>
  <si>
    <t>9N856</t>
  </si>
  <si>
    <t>9N861000000000011</t>
  </si>
  <si>
    <t>生活機能問診11</t>
  </si>
  <si>
    <t>9N861</t>
  </si>
  <si>
    <t>9N866000000000001</t>
  </si>
  <si>
    <t>生活機能問診12</t>
  </si>
  <si>
    <t>9N866</t>
  </si>
  <si>
    <t>身長と体重から計算されるBMIを記載すること。小数点以下1桁</t>
  </si>
  <si>
    <t>9N871000000000011</t>
  </si>
  <si>
    <t>生活機能問診13</t>
  </si>
  <si>
    <t>9N871</t>
  </si>
  <si>
    <t>9N876000000000011</t>
  </si>
  <si>
    <t>生活機能問診14</t>
  </si>
  <si>
    <t>9N876</t>
  </si>
  <si>
    <t>9N881000000000011</t>
  </si>
  <si>
    <t>生活機能問診15</t>
  </si>
  <si>
    <t>9N881</t>
  </si>
  <si>
    <t>9N886000000000011</t>
  </si>
  <si>
    <t>生活機能問診16</t>
  </si>
  <si>
    <t>9N886</t>
  </si>
  <si>
    <t>9N891000000000011</t>
  </si>
  <si>
    <t>生活機能問診17</t>
  </si>
  <si>
    <t>9N891</t>
  </si>
  <si>
    <t>9N896000000000011</t>
  </si>
  <si>
    <t>生活機能問診18</t>
  </si>
  <si>
    <t>9N896</t>
  </si>
  <si>
    <t>9N901000000000011</t>
  </si>
  <si>
    <t>生活機能問診19</t>
  </si>
  <si>
    <t>9N901</t>
  </si>
  <si>
    <t>9N906000000000011</t>
  </si>
  <si>
    <t>生活機能問診20</t>
  </si>
  <si>
    <t>9N906</t>
  </si>
  <si>
    <t>9N911000000000011</t>
  </si>
  <si>
    <t>生活機能問診21</t>
  </si>
  <si>
    <t>9N911</t>
  </si>
  <si>
    <t>9N916000000000011</t>
  </si>
  <si>
    <t>生活機能問診22</t>
  </si>
  <si>
    <t>9N916</t>
  </si>
  <si>
    <t>9N921000000000011</t>
  </si>
  <si>
    <t>生活機能問診23</t>
  </si>
  <si>
    <t>9N921</t>
  </si>
  <si>
    <t>9N926000000000011</t>
  </si>
  <si>
    <t>生活機能問診24</t>
  </si>
  <si>
    <t>9N926</t>
  </si>
  <si>
    <t>9N931000000000011</t>
  </si>
  <si>
    <t>生活機能問診25</t>
  </si>
  <si>
    <t>9N931</t>
  </si>
  <si>
    <t>情報提供</t>
  </si>
  <si>
    <t>9N950000000000011</t>
  </si>
  <si>
    <t>情報提供の方法</t>
  </si>
  <si>
    <t>9N950</t>
  </si>
  <si>
    <t>1.2.392.200119.6.18050</t>
  </si>
  <si>
    <t>1：付加価値の高い情報提供、2：専門職による対面説明、3：1と2両方実施
1～3に当てはまらない場合は出現させない</t>
  </si>
  <si>
    <t>初回面接</t>
  </si>
  <si>
    <t>9N807000000000011</t>
  </si>
  <si>
    <t>初回面接実施</t>
  </si>
  <si>
    <t>9N807</t>
  </si>
  <si>
    <t>1.2.392.200119.6.18060</t>
  </si>
  <si>
    <t>1：健診1週間以内に初回面接実施
1に当てはまらない場合は出現させない</t>
  </si>
  <si>
    <t>後期質問票</t>
  </si>
  <si>
    <t>9N932000000000011</t>
  </si>
  <si>
    <t>あなたの現在の健康状態はいかがですか（後期）</t>
  </si>
  <si>
    <t>9N932</t>
  </si>
  <si>
    <t>1.2.392.200119.6.19010</t>
  </si>
  <si>
    <t>後期質問票追加による修正</t>
  </si>
  <si>
    <t>1：よい、2：まあよい、
3：ふつう、4：あまりよくない、5：よくない</t>
  </si>
  <si>
    <t>9N933000000000011</t>
  </si>
  <si>
    <t>毎日の生活に満足していますか（後期）</t>
  </si>
  <si>
    <t>9N933</t>
  </si>
  <si>
    <t>1.2.392.200119.6.19020</t>
  </si>
  <si>
    <t>1：満足、 2：やや満足
3：やや不満、 4：不満</t>
  </si>
  <si>
    <t>9N934000000000011</t>
  </si>
  <si>
    <t>１日３食きちんと食べていますか（後期）</t>
  </si>
  <si>
    <t>9N934</t>
  </si>
  <si>
    <t>1.2.392.200119.6.19030</t>
  </si>
  <si>
    <t>1：はい 、2：いいえ</t>
  </si>
  <si>
    <t>9N935000000000011</t>
  </si>
  <si>
    <t>半年前に比べて固いものが食べにくくなりましたか（後期）</t>
  </si>
  <si>
    <t>9N935</t>
  </si>
  <si>
    <t>半年前に比べて固いもの(*)が食べにくくなりましたか（後期）
 *さきいか、たくあんなど</t>
  </si>
  <si>
    <t>1.2.392.200119.6.19040</t>
  </si>
  <si>
    <t>9N936000000000011</t>
  </si>
  <si>
    <t>お茶や汁物等でむせることがありますか（後期）</t>
  </si>
  <si>
    <t>9N936</t>
  </si>
  <si>
    <t>1.2.392.200119.6.19050</t>
  </si>
  <si>
    <t>9N937000000000011</t>
  </si>
  <si>
    <t>６カ月間で２～３kg以上の体重減少がありましたか（後期）</t>
  </si>
  <si>
    <t>9N937</t>
  </si>
  <si>
    <t>1.2.392.200119.6.19060</t>
  </si>
  <si>
    <t>9N938000000000011</t>
  </si>
  <si>
    <t>以前に比べて歩く速度が遅くなってきたと思いますか（後期）</t>
  </si>
  <si>
    <t>9N938</t>
  </si>
  <si>
    <t>1.2.392.200119.6.19070</t>
  </si>
  <si>
    <t>9N939000000000011</t>
  </si>
  <si>
    <t>この1年間に転んだことがありますか（後期）</t>
  </si>
  <si>
    <t>9N939</t>
  </si>
  <si>
    <t>1.2.392.200119.6.19080</t>
  </si>
  <si>
    <t>9N940000000000011</t>
  </si>
  <si>
    <t>ウォーキング等の運動を週に1回以上していますか（後期）</t>
  </si>
  <si>
    <t>9N940</t>
  </si>
  <si>
    <t>1.2.392.200119.6.19090</t>
  </si>
  <si>
    <t>9N941000000000011</t>
  </si>
  <si>
    <t>周りの人から「いつも同じことを聞く」などの物忘れがあると言われていますか（後期）</t>
  </si>
  <si>
    <t>9N941</t>
  </si>
  <si>
    <t>1.2.392.200119.6.19100</t>
  </si>
  <si>
    <t>9N942000000000011</t>
  </si>
  <si>
    <t>今日が何月何日かわからない時がありますか（後期）</t>
  </si>
  <si>
    <t>9N942</t>
  </si>
  <si>
    <t>1.2.392.200119.6.19110</t>
  </si>
  <si>
    <t>9N943000000000011</t>
  </si>
  <si>
    <t>あなたはたばこを吸いますか（後期）</t>
  </si>
  <si>
    <t>9N943</t>
  </si>
  <si>
    <t>1.2.392.200119.6.19120</t>
  </si>
  <si>
    <t>1：吸っている、2：吸っていない、3：やめた</t>
  </si>
  <si>
    <t>9N944000000000011</t>
  </si>
  <si>
    <t>週に1回以上は外出していますか（後期）</t>
  </si>
  <si>
    <t>9N944</t>
  </si>
  <si>
    <t>1.2.392.200119.6.19130</t>
  </si>
  <si>
    <t>9N945000000000011</t>
  </si>
  <si>
    <t>ふだんから家族や友人と付き合いがありますか（後期）</t>
  </si>
  <si>
    <t>9N945</t>
  </si>
  <si>
    <t>1.2.392.200119.6.19140</t>
  </si>
  <si>
    <t>9N946000000000011</t>
  </si>
  <si>
    <t>体調が悪いときに、身近に相談できる人がいますか（後期）</t>
  </si>
  <si>
    <t>9N946</t>
  </si>
  <si>
    <t>1.2.392.200119.6.19150</t>
  </si>
  <si>
    <t>-</t>
  </si>
  <si>
    <t>9N05616040
9N05600000</t>
  </si>
  <si>
    <t>9N056160400000049
9N056000000000011</t>
  </si>
  <si>
    <t>9N06116080
9N06100000</t>
  </si>
  <si>
    <t>9N061160800000049
9N061000000000011</t>
  </si>
  <si>
    <t>9N06616080
9N06600000</t>
  </si>
  <si>
    <t>9N066160800000049
9N066000000000011</t>
  </si>
  <si>
    <t>9N00100000</t>
  </si>
  <si>
    <t>9N00600000</t>
  </si>
  <si>
    <t>9A75500000
9A75200000
9A75100000</t>
  </si>
  <si>
    <t>9A755000000000001
9A752000000000001
9A751000000000001</t>
  </si>
  <si>
    <t>9A76500000
9A76200000
9A76100000</t>
  </si>
  <si>
    <t>9A765000000000001
9A762000000000001
9A761000000000001</t>
  </si>
  <si>
    <t>2A03000000</t>
  </si>
  <si>
    <t>2A02000000</t>
  </si>
  <si>
    <t>3B03500000</t>
  </si>
  <si>
    <t>3B035000002327201
3B035000002399901</t>
  </si>
  <si>
    <t>3B04500000</t>
  </si>
  <si>
    <t>3B045000002327201
3B045000002399901</t>
  </si>
  <si>
    <t>3B09000000</t>
  </si>
  <si>
    <t>3B090000002327101
3B090000002399901</t>
  </si>
  <si>
    <t>3F07000000</t>
  </si>
  <si>
    <t>3F070000002327101
3F070000002327201
3F070000002399901</t>
  </si>
  <si>
    <t>3F01500000
3F01512990</t>
  </si>
  <si>
    <t>3F015000002327101
3F015000002327201
3F015000002399901
3F015129902327101
3F015129902327201
3F015129902399901</t>
  </si>
  <si>
    <t>1A02000000</t>
  </si>
  <si>
    <t>1A020000000191111
1A020000000190111</t>
  </si>
  <si>
    <t>1A01000000</t>
  </si>
  <si>
    <t>1A010000000191111
1A010000000190111</t>
  </si>
  <si>
    <t>9E16016210
9E16016220
9E16016250
9E16016260</t>
  </si>
  <si>
    <t>9E160162100000001
9E160162200000001
9E160162500000001
9E160162600000001</t>
  </si>
  <si>
    <t>9D10016310
9D10016090
9D10016320
9D10016350
9D10016360</t>
  </si>
  <si>
    <t>9D100163100000011
9D100160900000049
9D100163200000011
9D100163500000011
9D100163600000011</t>
  </si>
  <si>
    <t>9N20100000
9N20616070
9N20616080
9N22116070
9N22116080
9N21600000</t>
  </si>
  <si>
    <t>9N201000000000011
9N206160700000011
9N206160800000049
9N221160700000011
9N221160800000049
9N216000000000011</t>
  </si>
  <si>
    <t>3F077000002327101
3F077000002327201
3F077000002399901</t>
  </si>
  <si>
    <t>3D01000000
3D04600000
3D01012990
9N14100000</t>
  </si>
  <si>
    <t>3D010000001926101
3D010000002227101
3D010000001927201
3D010000001999901
3D046000001906202
3D046000001920402
3D046000001927102
3D046000001999902
3D010129901926101
3D010129902227101
3D010129901927201
3D010129901999901
9N141000000000011</t>
  </si>
  <si>
    <t>9A11016070
9A11016080</t>
  </si>
  <si>
    <t>9A110160700000011
9A110160800000049</t>
  </si>
  <si>
    <t>3F07710000
3F07720000
3F07730009</t>
  </si>
  <si>
    <t>処理フロー
【前提】EvaluationContext は構築済みである。除外条件は適用済みである。</t>
    <rPh sb="0" eb="2">
      <t>ショリ</t>
    </rPh>
    <phoneticPr fontId="7"/>
  </si>
  <si>
    <t>【対象】
法令項目詳細No: 4401001001（既往歴）
【入力】
- EvaluationContext
【使用データ】
- method: 9N05600000
  - namecode: 9N056000000000011（既往歴所見有無）
- method: 9N05616040
  - namecode: 9N056160400000049（既往歴所見）
【判定】
① 既往歴所見有無(CD)を取得する。
② CDが取得できない場合
→ MISSING
③ CD = 2
→ OK
④ CD = 1
　既往歴所見を取得する。
　・値あり
　　→ OK
　・NULL / 空文字
　　→ MISSING
⑤ 上記以外
→ MISSING</t>
    <phoneticPr fontId="7"/>
  </si>
  <si>
    <t>【対象】
法令項目詳細No: 4402001001（自覚症状）
【入力】
- EvaluationContext
【使用データ】
- method: 9N06100000
  - namecode: 9N061000000000011（自覚症状所見有無）
- method: 9N06116080
  - namecode: 9N061160800000049（自覚症状所見）
【判定】
① 自覚症状所見有無（CD）を取得する。
② CDが取得できない場合
→ MISSING
③ CD = 2
→ OK
④ CD = 1
　自覚症状所見を取得する。
　・値あり
　　→ OK
　・NULL / 空文字
　　→ MISSING
⑤ 上記以外
→ MISSING</t>
    <phoneticPr fontId="7"/>
  </si>
  <si>
    <t>【対象】
法令項目詳細No: 4402001002（他覚症状）
【入力】
- EvaluationContext
【使用データ】
- method: 9N06600000
  - namecode: 9N066000000000011（他覚症状所見有無）
- method: 9N06616080
  - namecode: 9N066160800000049（他覚症状所見）
【判定】
① 他覚症状所見有無（CD）を取得する。
② CDが取得できない場合
→ MISSING
③ CD = 2
→ OK
④ CD = 1
　他覚症状所見を取得する。
　・値あり
　　→ OK
　・NULL / 空文字
　　→ MISSING
⑤ 上記以外
→ MISSING</t>
    <phoneticPr fontId="7"/>
  </si>
  <si>
    <t>【対象】
法令項目詳細No: 4403001001（身長）
【入力】
- EvaluationContext
【使用データ】
- identity: 9N001
【判定】
① identity「9N001」の検査値を取得する。
② 値あり
→ OK
③ 値なし
→ MISSING</t>
    <phoneticPr fontId="7"/>
  </si>
  <si>
    <t>【対象】
法令項目詳細No: 4403002001（体重）
【入力】
- EvaluationContext
【使用データ】
- identity: 9N006
【判定】
① identity「9N006」の検査値を取得する。
② 値あり
→ OK
③ 値なし
→ MISSING</t>
    <phoneticPr fontId="7"/>
  </si>
  <si>
    <t>9N016160100000001
9N016160200000001
9N016160300000001
9N011000000000001</t>
    <phoneticPr fontId="7"/>
  </si>
  <si>
    <t>9N01616010
9N01616020
9N01616030
9N01100000</t>
    <phoneticPr fontId="7"/>
  </si>
  <si>
    <t>実測を優先し、なければ自己測定を判定
実測:Any:method:9N01616010
自己測定:Any:method:9N01616020
自己申告:Any:method:9N01616030
BMI:Any:method:9N01100000
実測がNULLなら自己測定を確認⇒どちらもNULL⇒
自己申告がNULLじゃなくBMI&lt;22ならOK→条件を満たせないならNG</t>
    <rPh sb="71" eb="75">
      <t>ジコシンコ</t>
    </rPh>
    <rPh sb="129" eb="133">
      <t>ジコシンコ</t>
    </rPh>
    <rPh sb="153" eb="155">
      <t>ジョウケn</t>
    </rPh>
    <rPh sb="156" eb="157">
      <t>ミタ</t>
    </rPh>
    <phoneticPr fontId="7"/>
  </si>
  <si>
    <t>OK:
腹囲（実測）に値がある
腹囲（実測）に値がない場合、腹囲（自己測定）に値がある
腹囲（実測）・腹囲（自己測定）に値がなく、腹囲（自己申告）に値があり、かつBMIが22未満
※実測を最優先とし、次に自己測定、最後にBMI条件付きで自己申告を確認する
MISSING:
腹囲（実測）・腹囲（自己測定）・腹囲（自己申告）のいずれにも値がない
腹囲（自己申告）に値があるが、BMIが取得できない、数値として判定できない、または22以上</t>
    <rPh sb="44" eb="46">
      <t>フク</t>
    </rPh>
    <rPh sb="47" eb="49">
      <t>ジッソク</t>
    </rPh>
    <rPh sb="51" eb="53">
      <t>フクイ</t>
    </rPh>
    <rPh sb="54" eb="58">
      <t>ジコソク</t>
    </rPh>
    <rPh sb="60" eb="61">
      <t>アタイ</t>
    </rPh>
    <rPh sb="64" eb="66">
      <t>フクイ</t>
    </rPh>
    <rPh sb="67" eb="71">
      <t>ジコシンコ</t>
    </rPh>
    <rPh sb="73" eb="74">
      <t>アタイ</t>
    </rPh>
    <rPh sb="84" eb="86">
      <t>ミマn</t>
    </rPh>
    <rPh sb="120" eb="122">
      <t>フク</t>
    </rPh>
    <rPh sb="123" eb="127">
      <t>ジコシンク</t>
    </rPh>
    <rPh sb="138" eb="140">
      <t>フク</t>
    </rPh>
    <rPh sb="141" eb="145">
      <t>ジコシンク</t>
    </rPh>
    <rPh sb="156" eb="158">
      <t>イジョウ</t>
    </rPh>
    <phoneticPr fontId="7"/>
  </si>
  <si>
    <t>【対象】
法令項目詳細No: 4403003001（腹囲）
【入力】
- EvaluationContext
【使用データ】
- method: 9N01616010
  - namecode: 9N016160100000001（腹囲 実測）
- method: 9N01616020
  - namecode: 9N016160200000001（腹囲 自己測定）
- method: 9N01616030
  - namecode: 9N016160300000001（腹囲 自己申告）
- method: 9N01100000
  - namecode: 9N011000000000001（BMI）
【判定】
① 腹囲（実測）を取得する。
② 実測に値がある場合
→ OK
③ 実測に値がない場合、腹囲（自己測定）を取得する。
④ 自己測定に値がある場合
→ OK
⑤ 実測・自己測定のどちらにも値がない場合、腹囲（自己申告）を取得する。
⑥ 自己申告にも値がない場合
→ MISSING
⑦ 自己申告に値がある場合、BMIを取得する。
⑧ BMIが取得でき、かつ22未満の場合
→ OK
⑨ BMIが取得できない、数値として判定できない、または22以上の場合
→ MISSING</t>
    <phoneticPr fontId="7"/>
  </si>
  <si>
    <t>【対象】
法令項目詳細No: 4403004001（視力）
【入力】
- EvaluationContext
【使用データ】
右視力
- method: 9E16016210
  - namecode: 9E160162100000001（裸眼）
- method: 9E16016250
  - namecode: 9E160162500000001（矯正）
左視力
- method: 9E16016220
  - namecode: 9E160162200000001（裸眼）
- method: 9E16016260
  - namecode: 9E160162600000001（矯正）
【判定】
① 右視力を確認する。
　裸眼・矯正のいずれかに値がある場合、右視力ありとする。
② 左視力を確認する。
　裸眼・矯正のいずれかに値がある場合、左視力ありとする。
③ 右視力・左視力の両方に値がある場合
→ OK
④ 右視力・左視力のいずれかに値がない場合
→ MISSING</t>
    <phoneticPr fontId="7"/>
  </si>
  <si>
    <t>【対象】
法令項目詳細No: 4403005001（聴力）
【入力】
- EvaluationContext
【使用データ】
聴力検査
- method: 9D10016310
  - namecode: 9D100163100000011（右1000Hz）
- method: 9D10016320
  - namecode: 9D100163200000011（左1000Hz）
- method: 9D10016350
  - namecode: 9D100163500000011（右4000Hz）
- method: 9D10016360
  - namecode: 9D100163600000011（左4000Hz）
代替検査
- method: 9D10016090
  - namecode: 9D100160900000049（会話法）
【判定】
① 聴力検査4項目を確認する。
② 4項目すべてに値がある場合
→ OK
③ 4項目のいずれかに値がない場合、会話法による聴力検査を確認する。
④ 会話法に値がある場合
→ WARNING
⑤ 会話法にも値がない場合
→ MISSING</t>
    <phoneticPr fontId="7"/>
  </si>
  <si>
    <t>【対象】
法令項目詳細No: 4404001001（胸部X線）
【入力】
- EvaluationContext
【使用データ】
胸部X線検査結果
- method: 9N20100000
  - namecode: 9N201000000000011
- method: 9N21600000
  - namecode: 9N216000000000011
胸部X線所見（パターン1）
- method: 9N20616070
  - namecode: 9N206160700000011（所見有無）
- method: 9N20616080
  - namecode: 9N206160800000049（所見）
胸部X線所見（パターン2）
- method: 9N22116070
  - namecode: 9N221160700000011（所見有無）
- method: 9N22116080
  - namecode: 9N221160800000049（所見）
【判定】
① 胸部X線検査結果を確認する。
② 胸部X線検査結果のいずれかに値がある場合
→ OK
③ 検査結果に値がない場合、胸部X線所見（パターン1）を確認する。
　・所見なし（CD=2）
　　→ OK
　・所見あり（CD=1）かつ所見あり
　　→ OK
　・判定不能（CD=3）
　　→ WARNING
④ パターン1で判定できなかった場合、胸部X線所見（パターン2）を確認する。
　・所見なし（CD=2）
　　→ OK
　・所見あり（CD=1）かつ所見あり
　　→ OK
　・判定不能（CD=3）
　　→ WARNING
⑤ 上記のいずれにも該当しない場合
→ MISSING</t>
    <phoneticPr fontId="7"/>
  </si>
  <si>
    <t>【対象】
法令項目詳細No: 4405001001（収縮期血圧）
【入力】
- EvaluationContext
【使用データ】
- method: 9A75500000
  - namecode: 9A755000000000001（代表値・その他）
- method: 9A75200000
  - namecode: 9A752000000000001（2回目）
- method: 9A75100000
  - namecode: 9A751000000000001（1回目）
【判定】
① 収縮期血圧の候補値を確認する。
② 代表値・その他、2回目、1回目のいずれかに値がある場合
→ OK
③ すべてに値がない場合
→ MISSING</t>
    <phoneticPr fontId="7"/>
  </si>
  <si>
    <t>【対象】
法令項目詳細No: 4405001002（拡張期血圧）
【入力】
- EvaluationContext
【使用データ】
- method: 9A76500000
  - namecode: 9A765000000000001（代表値・その他）
- method: 9A76200000
  - namecode: 9A762000000000001（2回目）
- method: 9A76100000
  - namecode: 9A761000000000001（1回目）
【判定】
① 拡張期血圧の候補値を確認する。
② 代表値・その他、2回目、1回目のいずれかに値がある場合
→ OK
③ すべてに値がない場合
→ MISSING</t>
    <phoneticPr fontId="7"/>
  </si>
  <si>
    <t>【対象】
法令項目詳細No: 4406001001（血色素量（ヘモグロビン））
【入力】
- EvaluationContext
【使用データ】
- identity: 2A030
【判定】
① identity「2A030」の検査値を取得する。
② 値がある場合
→ OK
③ 値がない場合
→ MISSING</t>
    <phoneticPr fontId="7"/>
  </si>
  <si>
    <t>【対象】
法令項目詳細No: 4406001002（赤血球数）
【入力】
- EvaluationContext
【使用データ】
- identity: 2A020
【判定】
① identity「2A020」の検査値を取得する。
② 値がある場合
→ OK
③ 値がない場合
→ MISSING</t>
    <phoneticPr fontId="7"/>
  </si>
  <si>
    <t>【対象】
法令項目詳細No: 4407001001（AST）
【入力】
- EvaluationContext
【使用データ】
- identity: 3B035
【判定】
① identity「3B035」の検査値を取得する。
② 値がある場合
→ OK
③ 値がない場合
→ MISSING</t>
    <phoneticPr fontId="7"/>
  </si>
  <si>
    <t>【対象】
法令項目詳細No: 4407001002（ALT）
【入力】
- EvaluationContext
【使用データ】
- identity: 3B045
【判定】
① identity「3B045」の検査値を取得する。
② 値がある場合
→ OK
③ 値がない場合
→ MISSING</t>
    <phoneticPr fontId="7"/>
  </si>
  <si>
    <t>【対象】
法令項目詳細No: 4407001003（γ-GT）
【入力】
- EvaluationContext
【使用データ】
- identity: 3B090
【判定】
① identity「3B090」の検査値を取得する。
② 値がある場合
→ OK
③ 値がない場合
→ MISSING</t>
    <phoneticPr fontId="7"/>
  </si>
  <si>
    <t>【対象】
法令項目詳細No: 4408001001（LDLコレステロール）
【入力】
- EvaluationContext
【使用データ】
- identity: 3F077
【対象外】
- method: 3F07740009（計算法）
【判定】
① identity「3F077」の検査値を取得する。
② method「3F07740009（計算法）」のデータは判定対象から除外する。
③ 対象となる測定方法（直接法・その他）のいずれかに値がある場合
→ OK
④ 対象となる測定方法のいずれにも値がない場合
→ MISSING</t>
    <phoneticPr fontId="7"/>
  </si>
  <si>
    <t>【対象】
法令項目詳細No: 4408001002（HDLコレステロール）
【入力】
- EvaluationContext
【使用データ】
- identity: 3F070
【判定】
① identity「3F070」の検査値を取得する。
② 値がある場合
→ OK
③ 値がない場合
→ MISSING</t>
    <phoneticPr fontId="7"/>
  </si>
  <si>
    <t>【対象】
法令項目詳細No: 4408001003（中性脂肪（TG））
【入力】
- EvaluationContext
【使用データ】
- identity: 3F015
【判定】
① identity「3F015」の検査値を取得する。
② 値がある場合
→ OK
③ 値がない場合
→ MISSING</t>
    <phoneticPr fontId="7"/>
  </si>
  <si>
    <t>【対象】
法令項目詳細No: 4409001001（血糖）
【入力】
- EvaluationContext
【使用データ】
空腹時血糖
- identity: 3D010（空腹時）
HbA1c
- identity: 3D046
随時血糖
- identity: 3D010（随時）
採血時間
- method: 9N14100000
  - namecode: 9N141000000000011
【判定】
① 空腹時血糖を確認する。
② 空腹時血糖に値がある場合
→ OK
③ HbA1cを確認する。
④ HbA1cに値がある場合
→ OK
⑤ 空腹時血糖・HbA1cのどちらにも値がない場合、随時血糖を確認する。
⑥ 随時血糖に値がない場合
→ MISSING
⑦ 随時血糖に値がある場合、採血時間を確認する。
⑧ 採血時間がCD=2またはCD=3の場合
→ OK
⑨ 採血時間が取得できない、またはCD=1・その他の場合
→ MISSING</t>
    <phoneticPr fontId="7"/>
  </si>
  <si>
    <t>【対象】
法令項目詳細No: 4410001001（尿糖）
【入力】
- EvaluationContext
【使用データ】
- identity: 1A020
【判定】
① identity「1A020」の検査値を取得する。
② 値がある場合
→ OK
③ 値がない場合
→ MISSING</t>
    <phoneticPr fontId="7"/>
  </si>
  <si>
    <t>【対象】
法令項目詳細No: 4410001002（尿蛋白）
【入力】
- EvaluationContext
【使用データ】
- identity: 1A010
【判定】
① identity「1A010」の検査値を取得する。
② 値がある場合
→ OK
③ 値がない場合
→ MISSING</t>
    <phoneticPr fontId="7"/>
  </si>
  <si>
    <t>【対象】
法令項目詳細No: 4411001001（心電図）
【入力】
- EvaluationContext
【使用データ】
- method: 9A11016070
  - namecode: 9A110160700000011（心電図所見有無）
- method: 9A11016080
  - namecode: 9A110160800000049（心電図所見）
【判定】
① 心電図所見有無（CD）を取得する。
② CDが取得できない場合
→ MISSING
③ CD = 2
→ OK
④ CD = 1
　心電図所見を取得する。
　・値あり
　　→ OK
　・NULL / 空文字
　　→ MISSING
⑤ 上記以外
→ MISSING</t>
    <phoneticPr fontId="7"/>
  </si>
  <si>
    <t>FINDING</t>
  </si>
  <si>
    <t>PRIORITY</t>
  </si>
  <si>
    <t>ALL + FALLBACK</t>
  </si>
  <si>
    <t>ANY + FINDING(OR)</t>
  </si>
  <si>
    <t>CONDITIONAL</t>
  </si>
  <si>
    <t>判定パターン</t>
    <rPh sb="0" eb="2">
      <t>ハンテイ</t>
    </rPh>
    <phoneticPr fontId="7"/>
  </si>
  <si>
    <t>SIMPLE_IDENTITY</t>
  </si>
  <si>
    <t>SIMPLE_METHOD_ANY</t>
  </si>
  <si>
    <t>SIMPLE_METHOD_ANY_EXCLUDE</t>
  </si>
  <si>
    <t>ALL_REQUIRED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</si>
</sst>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scheme val="minor"/>
    </font>
    <font>
      <b/>
      <sz val="14"/>
      <color rgb="FFFFFFFF"/>
      <name val="Arial"/>
      <family val="2"/>
    </font>
    <font>
      <sz val="9"/>
      <color rgb="FF333333"/>
      <name val="Arial"/>
      <family val="2"/>
    </font>
    <font>
      <b/>
      <sz val="10"/>
      <color rgb="FFFFFFFF"/>
      <name val="Arial"/>
      <family val="2"/>
    </font>
    <font>
      <b/>
      <sz val="11"/>
      <color rgb="FF000000"/>
      <name val="Arial"/>
      <family val="2"/>
    </font>
    <font>
      <sz val="9"/>
      <color rgb="FF000000"/>
      <name val="Arial"/>
      <family val="2"/>
    </font>
    <font>
      <b/>
      <sz val="9"/>
      <color rgb="FF000000"/>
      <name val="Arial"/>
      <family val="2"/>
    </font>
    <font>
      <sz val="6"/>
      <name val="ＭＳ Ｐゴシック"/>
      <family val="3"/>
      <charset val="128"/>
      <scheme val="minor"/>
    </font>
    <font>
      <b/>
      <sz val="9"/>
      <color rgb="FF000000"/>
      <name val="MS P ゴシック"/>
      <charset val="128"/>
    </font>
    <font>
      <b/>
      <sz val="10"/>
      <color rgb="FFFFFFFF"/>
      <name val="ＭＳ Ｐゴシック"/>
      <family val="2"/>
      <charset val="128"/>
      <scheme val="minor"/>
    </font>
    <font>
      <sz val="11"/>
      <color theme="1"/>
      <name val="ＭＳ Ｐゴシック"/>
      <family val="2"/>
      <charset val="128"/>
      <scheme val="minor"/>
    </font>
    <font>
      <b/>
      <sz val="11"/>
      <color rgb="FF000000"/>
      <name val="ＭＳ Ｐゴシック"/>
      <family val="2"/>
      <charset val="128"/>
      <scheme val="minor"/>
    </font>
    <font>
      <sz val="9"/>
      <color rgb="FF000000"/>
      <name val="ＭＳ Ｐゴシック"/>
      <family val="2"/>
      <charset val="128"/>
      <scheme val="minor"/>
    </font>
    <font>
      <sz val="11"/>
      <color rgb="FF000000"/>
      <name val="ＭＳ Ｐゴシック"/>
      <family val="2"/>
      <charset val="128"/>
      <scheme val="minor"/>
    </font>
    <font>
      <sz val="11"/>
      <name val="ＭＳ Ｐゴシック"/>
      <family val="2"/>
      <charset val="128"/>
      <scheme val="minor"/>
    </font>
    <font>
      <sz val="9"/>
      <color rgb="FF000000"/>
      <name val="MS Gothic"/>
      <family val="2"/>
      <charset val="128"/>
    </font>
    <font>
      <sz val="9"/>
      <color rgb="FF000000"/>
      <name val="Arial"/>
      <family val="2"/>
      <charset val="128"/>
    </font>
    <font>
      <sz val="11"/>
      <color theme="1"/>
      <name val="メイリオ"/>
      <family val="3"/>
      <charset val="128"/>
    </font>
    <font>
      <sz val="10"/>
      <color theme="1"/>
      <name val="メイリオ"/>
      <family val="3"/>
      <charset val="128"/>
    </font>
    <font>
      <sz val="9"/>
      <color theme="1"/>
      <name val="メイリオ"/>
      <family val="3"/>
      <charset val="128"/>
    </font>
    <font>
      <sz val="6"/>
      <name val="ＭＳ Ｐゴシック"/>
      <family val="2"/>
      <charset val="128"/>
      <scheme val="minor"/>
    </font>
    <font>
      <sz val="11"/>
      <name val="メイリオ"/>
      <family val="3"/>
      <charset val="128"/>
    </font>
    <font>
      <sz val="10"/>
      <color rgb="FF000000"/>
      <name val="Yu Gothic UI"/>
    </font>
    <font>
      <b/>
      <sz val="10"/>
      <color rgb="FF000000"/>
      <name val="Yu Gothic UI"/>
    </font>
  </fonts>
  <fills count="11">
    <fill>
      <patternFill patternType="none"/>
    </fill>
    <fill>
      <patternFill patternType="gray125"/>
    </fill>
    <fill>
      <patternFill patternType="solid">
        <fgColor rgb="FF1F4E79"/>
      </patternFill>
    </fill>
    <fill>
      <patternFill patternType="solid">
        <fgColor rgb="FFD9E5F1"/>
      </patternFill>
    </fill>
    <fill>
      <patternFill patternType="solid">
        <fgColor rgb="FF2E6CA4"/>
      </patternFill>
    </fill>
    <fill>
      <patternFill patternType="solid">
        <fgColor rgb="FFF2F2F2"/>
      </patternFill>
    </fill>
    <fill>
      <patternFill patternType="solid">
        <fgColor rgb="FFFFF2CC"/>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249977111117893"/>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10" fillId="0" borderId="0">
      <alignment vertical="center"/>
    </xf>
  </cellStyleXfs>
  <cellXfs count="65">
    <xf numFmtId="0" fontId="0" fillId="0" borderId="0" xfId="0"/>
    <xf numFmtId="0" fontId="3"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5" fillId="5"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0" fontId="9" fillId="4"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9" fillId="4" borderId="0" xfId="0" applyFont="1" applyFill="1" applyAlignment="1">
      <alignment horizontal="center" vertical="center" wrapText="1"/>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center" vertical="center" wrapText="1"/>
    </xf>
    <xf numFmtId="0" fontId="12" fillId="0" borderId="1" xfId="0" applyFont="1" applyBorder="1" applyAlignment="1">
      <alignment horizontal="left" vertical="top" wrapText="1"/>
    </xf>
    <xf numFmtId="0" fontId="12" fillId="8" borderId="0" xfId="0" applyFont="1" applyFill="1" applyAlignment="1">
      <alignment horizontal="left" vertical="top" wrapText="1"/>
    </xf>
    <xf numFmtId="0" fontId="12" fillId="0" borderId="0" xfId="0" applyFont="1" applyAlignment="1">
      <alignment horizontal="center" vertical="top" wrapText="1"/>
    </xf>
    <xf numFmtId="0" fontId="12" fillId="0" borderId="0" xfId="0" applyFont="1" applyAlignment="1">
      <alignment horizontal="left" vertical="top" wrapText="1"/>
    </xf>
    <xf numFmtId="0" fontId="13" fillId="0" borderId="0" xfId="0" applyFont="1" applyAlignment="1">
      <alignment horizontal="center" vertical="center" wrapText="1"/>
    </xf>
    <xf numFmtId="0" fontId="10" fillId="0" borderId="0" xfId="0" applyFont="1" applyAlignment="1">
      <alignment wrapText="1"/>
    </xf>
    <xf numFmtId="0" fontId="12" fillId="9" borderId="0" xfId="0" applyFont="1" applyFill="1" applyAlignment="1">
      <alignment horizontal="left" vertical="top" wrapText="1"/>
    </xf>
    <xf numFmtId="0" fontId="14" fillId="0" borderId="0" xfId="0" applyFont="1" applyAlignment="1">
      <alignment horizontal="left" vertical="center" shrinkToFit="1"/>
    </xf>
    <xf numFmtId="0" fontId="10" fillId="0" borderId="0" xfId="0" applyFont="1" applyAlignment="1">
      <alignment horizontal="center"/>
    </xf>
    <xf numFmtId="0" fontId="14" fillId="0" borderId="0" xfId="0" applyFont="1" applyAlignment="1">
      <alignment horizontal="left" vertical="center" wrapText="1" shrinkToFit="1"/>
    </xf>
    <xf numFmtId="0" fontId="17" fillId="10" borderId="2" xfId="1" applyFont="1" applyFill="1" applyBorder="1" applyAlignment="1">
      <alignment horizontal="center" vertical="center" wrapText="1"/>
    </xf>
    <xf numFmtId="0" fontId="18" fillId="10" borderId="2" xfId="1" applyFont="1" applyFill="1" applyBorder="1" applyAlignment="1">
      <alignment horizontal="center" vertical="center" wrapText="1"/>
    </xf>
    <xf numFmtId="0" fontId="19" fillId="10" borderId="2" xfId="1" applyFont="1" applyFill="1" applyBorder="1" applyAlignment="1">
      <alignment horizontal="center" vertical="center" wrapText="1" shrinkToFit="1"/>
    </xf>
    <xf numFmtId="0" fontId="19" fillId="10" borderId="2" xfId="1" applyFont="1" applyFill="1" applyBorder="1" applyAlignment="1">
      <alignment horizontal="center" vertical="center" wrapText="1"/>
    </xf>
    <xf numFmtId="0" fontId="17" fillId="10" borderId="2" xfId="1" applyFont="1" applyFill="1" applyBorder="1" applyAlignment="1">
      <alignment horizontal="center" vertical="center" wrapText="1" shrinkToFit="1"/>
    </xf>
    <xf numFmtId="0" fontId="17" fillId="10" borderId="3" xfId="1" applyFont="1" applyFill="1" applyBorder="1" applyAlignment="1">
      <alignment horizontal="center" vertical="center" shrinkToFit="1"/>
    </xf>
    <xf numFmtId="0" fontId="17" fillId="10" borderId="3" xfId="1" applyFont="1" applyFill="1" applyBorder="1" applyAlignment="1">
      <alignment horizontal="center" vertical="center" wrapText="1"/>
    </xf>
    <xf numFmtId="0" fontId="17" fillId="0" borderId="0" xfId="1" applyFont="1" applyAlignment="1">
      <alignment horizontal="center" vertical="center" wrapText="1"/>
    </xf>
    <xf numFmtId="0" fontId="21" fillId="0" borderId="2" xfId="1" applyFont="1" applyBorder="1" applyAlignment="1">
      <alignment horizontal="center" vertical="center" wrapText="1"/>
    </xf>
    <xf numFmtId="0" fontId="21" fillId="0" borderId="2" xfId="1" applyFont="1" applyBorder="1" applyAlignment="1">
      <alignment horizontal="left" vertical="center" wrapText="1"/>
    </xf>
    <xf numFmtId="0" fontId="21" fillId="0" borderId="2" xfId="1" applyFont="1" applyBorder="1" applyAlignment="1">
      <alignment horizontal="center" vertical="center" shrinkToFit="1"/>
    </xf>
    <xf numFmtId="0" fontId="21" fillId="0" borderId="3" xfId="1" applyFont="1" applyBorder="1" applyAlignment="1">
      <alignment horizontal="center" vertical="center" shrinkToFit="1"/>
    </xf>
    <xf numFmtId="0" fontId="21" fillId="0" borderId="3" xfId="1" applyFont="1" applyBorder="1" applyAlignment="1">
      <alignment horizontal="center" vertical="center" wrapText="1"/>
    </xf>
    <xf numFmtId="0" fontId="21" fillId="0" borderId="3" xfId="1" applyFont="1" applyBorder="1" applyAlignment="1">
      <alignment horizontal="left" vertical="center" wrapText="1"/>
    </xf>
    <xf numFmtId="0" fontId="21" fillId="0" borderId="4" xfId="1" applyFont="1" applyBorder="1" applyAlignment="1">
      <alignment horizontal="center" vertical="center" wrapText="1"/>
    </xf>
    <xf numFmtId="0" fontId="21" fillId="0" borderId="5" xfId="1" applyFont="1" applyBorder="1" applyAlignment="1">
      <alignment horizontal="center" vertical="center" wrapText="1"/>
    </xf>
    <xf numFmtId="0" fontId="21" fillId="0" borderId="0" xfId="1" applyFont="1" applyAlignment="1">
      <alignment horizontal="center" vertical="center" wrapText="1"/>
    </xf>
    <xf numFmtId="0" fontId="21" fillId="0" borderId="3" xfId="1" applyFont="1" applyBorder="1" applyAlignment="1">
      <alignment horizontal="center" vertical="center" wrapText="1" shrinkToFit="1"/>
    </xf>
    <xf numFmtId="0" fontId="21" fillId="0" borderId="0" xfId="1" applyFont="1" applyAlignment="1">
      <alignment horizontal="left" vertical="center"/>
    </xf>
    <xf numFmtId="0" fontId="21" fillId="0" borderId="0" xfId="1" applyFont="1" applyAlignment="1">
      <alignment horizontal="left" vertical="center" wrapText="1"/>
    </xf>
    <xf numFmtId="0" fontId="21" fillId="0" borderId="0" xfId="1" applyFont="1" applyAlignment="1">
      <alignment horizontal="center" vertical="center" shrinkToFit="1"/>
    </xf>
    <xf numFmtId="0" fontId="17" fillId="0" borderId="0" xfId="1" applyFont="1" applyAlignment="1">
      <alignment horizontal="left" vertical="center" wrapText="1"/>
    </xf>
    <xf numFmtId="0" fontId="17" fillId="0" borderId="0" xfId="1" applyFont="1" applyAlignment="1">
      <alignment horizontal="center" vertical="center" shrinkToFit="1"/>
    </xf>
    <xf numFmtId="0" fontId="10" fillId="0" borderId="0" xfId="0" applyFont="1" applyAlignment="1">
      <alignment vertical="top" wrapText="1"/>
    </xf>
    <xf numFmtId="0" fontId="1" fillId="2" borderId="0" xfId="0" applyFont="1" applyFill="1" applyAlignment="1">
      <alignment horizontal="center" vertical="center" wrapText="1"/>
    </xf>
    <xf numFmtId="0" fontId="0" fillId="0" borderId="0" xfId="0"/>
    <xf numFmtId="0" fontId="5" fillId="6" borderId="0" xfId="0" applyFont="1" applyFill="1" applyAlignment="1">
      <alignment horizontal="left" vertical="top" wrapText="1"/>
    </xf>
    <xf numFmtId="0" fontId="6" fillId="3" borderId="0" xfId="0" applyFont="1" applyFill="1" applyAlignment="1">
      <alignment horizontal="left" vertical="top" wrapText="1"/>
    </xf>
    <xf numFmtId="0" fontId="2" fillId="3" borderId="0" xfId="0" applyFont="1" applyFill="1" applyAlignment="1">
      <alignment horizontal="left" vertical="center" wrapText="1"/>
    </xf>
    <xf numFmtId="0" fontId="16" fillId="6" borderId="0" xfId="0" applyFont="1" applyFill="1" applyAlignment="1">
      <alignment horizontal="left" vertical="top" wrapText="1"/>
    </xf>
    <xf numFmtId="0" fontId="2" fillId="6" borderId="0" xfId="0" applyFont="1" applyFill="1" applyAlignment="1">
      <alignment horizontal="left" vertical="top" wrapText="1"/>
    </xf>
    <xf numFmtId="0" fontId="21" fillId="0" borderId="3" xfId="1" applyFont="1" applyBorder="1" applyAlignment="1">
      <alignment horizontal="left" vertical="center" wrapText="1"/>
    </xf>
    <xf numFmtId="0" fontId="10" fillId="0" borderId="7" xfId="1" applyBorder="1" applyAlignment="1"/>
    <xf numFmtId="0" fontId="10" fillId="0" borderId="6" xfId="1" applyBorder="1" applyAlignment="1"/>
  </cellXfs>
  <cellStyles count="2">
    <cellStyle name="標準" xfId="0" builtinId="0"/>
    <cellStyle name="標準 2" xfId="1" xr:uid="{6629D74F-E26B-1548-9A32-DE3F088E2C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07800F7-3E9B-4724-A2AF-BBB5EBD991F1}">
  <we:reference id="WA200009404" version="1.0.0.8" store="Omex" storeType="OMEX"/>
  <we:alternateReferences>
    <we:reference id="WA200009404" version="1.0.0.8" store="WA200009404" storeType="OMEX"/>
  </we:alternateReferences>
  <we:properties>
    <we:property name="claude.fileId" value="&quot;b361ad65-76ca-4167-9a60-ac1c33b07836&quot;"/>
  </we:properties>
  <we:bindings/>
  <we:snapshot xmlns:r="http://schemas.openxmlformats.org/officeDocument/2006/relationships"/>
</we:webextension>
</file>

<file path=xl/webextensions/webextension2.xml><?xml version="1.0" encoding="utf-8"?>
<we:webextension xmlns:we="http://schemas.microsoft.com/office/webextensions/webextension/2010/11" id="{C060530F-F61A-F247-85B7-791CB251456A}">
  <we:reference id="WA200010215" version="2.0.0.0" store="Omex" storeType="OMEX"/>
  <we:alternateReferences>
    <we:reference id="WA200010215" version="2.0.0.0" store="WA200010215" storeType="OMEX"/>
  </we:alternateReferences>
  <we:properties>
    <we:property name="bps.codex_control.document_id" value="&quot;7b935755-f839-4e14-a082-3b58701cf39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59D4-C641-4221-9B6C-0BBC7A2CB839}">
  <dimension ref="A1:X27"/>
  <sheetViews>
    <sheetView tabSelected="1" topLeftCell="J22" workbookViewId="0">
      <selection activeCell="R23" sqref="R23"/>
    </sheetView>
  </sheetViews>
  <sheetFormatPr baseColWidth="10" defaultColWidth="8.83203125" defaultRowHeight="14"/>
  <cols>
    <col min="1" max="1" width="7.1640625" style="17" customWidth="1"/>
    <col min="2" max="2" width="35.33203125" style="17" customWidth="1"/>
    <col min="3" max="3" width="8.83203125" style="17"/>
    <col min="4" max="4" width="80.83203125" style="17" customWidth="1"/>
    <col min="5" max="5" width="10.1640625" style="17" customWidth="1"/>
    <col min="6" max="6" width="14.6640625" style="29" customWidth="1"/>
    <col min="7" max="7" width="16.33203125" style="29" customWidth="1"/>
    <col min="8" max="8" width="10" style="29" customWidth="1"/>
    <col min="9" max="9" width="9.1640625" style="29" customWidth="1"/>
    <col min="10" max="10" width="28.1640625" style="17" customWidth="1"/>
    <col min="11" max="12" width="8.83203125" style="17"/>
    <col min="13" max="13" width="14.1640625" style="17" customWidth="1"/>
    <col min="14" max="15" width="35.1640625" style="17" customWidth="1"/>
    <col min="16" max="16" width="21.33203125" style="17" customWidth="1"/>
    <col min="17" max="18" width="33.6640625" style="17" customWidth="1"/>
    <col min="19" max="19" width="12.6640625" style="17" customWidth="1"/>
    <col min="20" max="20" width="21.83203125" style="17" customWidth="1"/>
    <col min="21" max="21" width="19.6640625" style="17" customWidth="1"/>
    <col min="22" max="22" width="8.83203125" style="17"/>
    <col min="23" max="23" width="60" style="17" customWidth="1"/>
    <col min="24" max="24" width="18" style="17" bestFit="1" customWidth="1"/>
    <col min="25" max="16384" width="8.83203125" style="17"/>
  </cols>
  <sheetData>
    <row r="1" spans="1:24" ht="90">
      <c r="A1" s="14" t="s">
        <v>2</v>
      </c>
      <c r="B1" s="14" t="s">
        <v>3</v>
      </c>
      <c r="C1" s="14" t="s">
        <v>5</v>
      </c>
      <c r="D1" s="14" t="s">
        <v>7</v>
      </c>
      <c r="E1" s="15" t="s">
        <v>148</v>
      </c>
      <c r="F1" s="16" t="s">
        <v>162</v>
      </c>
      <c r="G1" s="16" t="s">
        <v>161</v>
      </c>
      <c r="H1" s="16" t="s">
        <v>165</v>
      </c>
      <c r="I1" s="16" t="s">
        <v>167</v>
      </c>
      <c r="J1" s="16" t="s">
        <v>151</v>
      </c>
      <c r="K1" s="16" t="s">
        <v>194</v>
      </c>
      <c r="L1" s="16" t="s">
        <v>195</v>
      </c>
      <c r="M1" s="16" t="s">
        <v>196</v>
      </c>
      <c r="N1" s="16" t="s">
        <v>197</v>
      </c>
      <c r="O1" s="16" t="s">
        <v>200</v>
      </c>
      <c r="P1" s="16" t="s">
        <v>204</v>
      </c>
      <c r="Q1" s="16" t="s">
        <v>207</v>
      </c>
      <c r="R1" s="16" t="s">
        <v>179</v>
      </c>
      <c r="S1" s="16" t="s">
        <v>231</v>
      </c>
      <c r="T1" s="16" t="s">
        <v>232</v>
      </c>
      <c r="U1" s="16" t="s">
        <v>234</v>
      </c>
      <c r="V1" s="16" t="s">
        <v>233</v>
      </c>
      <c r="W1" s="16" t="s">
        <v>1520</v>
      </c>
      <c r="X1" s="16" t="s">
        <v>1553</v>
      </c>
    </row>
    <row r="2" spans="1:24" ht="108" customHeight="1">
      <c r="A2" s="18" t="s">
        <v>9</v>
      </c>
      <c r="B2" s="19" t="s">
        <v>10</v>
      </c>
      <c r="C2" s="20" t="s">
        <v>11</v>
      </c>
      <c r="D2" s="21" t="s">
        <v>12</v>
      </c>
      <c r="E2" s="22" t="s">
        <v>149</v>
      </c>
      <c r="F2" s="23"/>
      <c r="G2" s="23"/>
      <c r="H2" s="23"/>
      <c r="I2" s="23"/>
      <c r="J2" s="24"/>
      <c r="K2" s="25">
        <v>1</v>
      </c>
      <c r="L2" s="17" t="s">
        <v>125</v>
      </c>
      <c r="M2" s="17">
        <v>4401001001</v>
      </c>
      <c r="N2" s="26" t="s">
        <v>171</v>
      </c>
      <c r="O2" s="26"/>
      <c r="P2" s="26"/>
      <c r="Q2" s="26" t="s">
        <v>208</v>
      </c>
      <c r="S2" s="26" t="s">
        <v>1480</v>
      </c>
      <c r="T2" s="26" t="s">
        <v>1481</v>
      </c>
      <c r="W2" s="54" t="s">
        <v>1521</v>
      </c>
      <c r="X2" s="17" t="s">
        <v>1548</v>
      </c>
    </row>
    <row r="3" spans="1:24" ht="108" customHeight="1">
      <c r="A3" s="18" t="s">
        <v>9</v>
      </c>
      <c r="B3" s="19" t="s">
        <v>10</v>
      </c>
      <c r="C3" s="20" t="s">
        <v>11</v>
      </c>
      <c r="D3" s="21" t="s">
        <v>12</v>
      </c>
      <c r="E3" s="24" t="s">
        <v>150</v>
      </c>
      <c r="F3" s="23"/>
      <c r="G3" s="23"/>
      <c r="H3" s="23"/>
      <c r="I3" s="23"/>
      <c r="J3" s="24" t="s">
        <v>169</v>
      </c>
      <c r="K3" s="25">
        <v>2</v>
      </c>
      <c r="L3" s="17" t="s">
        <v>126</v>
      </c>
      <c r="M3" s="17">
        <v>4401001002</v>
      </c>
      <c r="N3" s="26" t="s">
        <v>178</v>
      </c>
      <c r="O3" s="26" t="s">
        <v>201</v>
      </c>
      <c r="P3" s="26" t="s">
        <v>201</v>
      </c>
      <c r="Q3" s="26" t="s">
        <v>178</v>
      </c>
      <c r="S3" s="26" t="s">
        <v>1479</v>
      </c>
      <c r="T3" s="26" t="s">
        <v>1479</v>
      </c>
      <c r="U3" s="26"/>
      <c r="V3" s="26"/>
      <c r="W3" s="54" t="s">
        <v>201</v>
      </c>
      <c r="X3" s="26" t="s">
        <v>201</v>
      </c>
    </row>
    <row r="4" spans="1:24" ht="108" customHeight="1">
      <c r="A4" s="18" t="s">
        <v>14</v>
      </c>
      <c r="B4" s="19" t="s">
        <v>15</v>
      </c>
      <c r="C4" s="20" t="s">
        <v>11</v>
      </c>
      <c r="D4" s="21" t="s">
        <v>12</v>
      </c>
      <c r="E4" s="22" t="s">
        <v>149</v>
      </c>
      <c r="F4" s="23"/>
      <c r="G4" s="23"/>
      <c r="H4" s="23"/>
      <c r="I4" s="23"/>
      <c r="J4" s="24"/>
      <c r="K4" s="25">
        <v>1</v>
      </c>
      <c r="L4" s="17" t="s">
        <v>127</v>
      </c>
      <c r="M4" s="17">
        <v>4402001001</v>
      </c>
      <c r="N4" s="26" t="s">
        <v>170</v>
      </c>
      <c r="O4" s="26"/>
      <c r="P4" s="26"/>
      <c r="Q4" s="26" t="s">
        <v>209</v>
      </c>
      <c r="S4" s="26" t="s">
        <v>1482</v>
      </c>
      <c r="T4" s="26" t="s">
        <v>1483</v>
      </c>
      <c r="W4" s="54" t="s">
        <v>1522</v>
      </c>
      <c r="X4" s="17" t="s">
        <v>1548</v>
      </c>
    </row>
    <row r="5" spans="1:24" ht="108" customHeight="1">
      <c r="A5" s="18" t="s">
        <v>14</v>
      </c>
      <c r="B5" s="19" t="s">
        <v>15</v>
      </c>
      <c r="C5" s="20" t="s">
        <v>11</v>
      </c>
      <c r="D5" s="21" t="s">
        <v>12</v>
      </c>
      <c r="E5" s="22" t="s">
        <v>149</v>
      </c>
      <c r="F5" s="23"/>
      <c r="G5" s="23"/>
      <c r="H5" s="23"/>
      <c r="I5" s="23"/>
      <c r="J5" s="24"/>
      <c r="K5" s="25">
        <v>2</v>
      </c>
      <c r="L5" s="17" t="s">
        <v>128</v>
      </c>
      <c r="M5" s="17">
        <v>4402001002</v>
      </c>
      <c r="N5" s="26" t="s">
        <v>172</v>
      </c>
      <c r="O5" s="26"/>
      <c r="P5" s="26"/>
      <c r="Q5" s="26" t="s">
        <v>210</v>
      </c>
      <c r="S5" s="26" t="s">
        <v>1484</v>
      </c>
      <c r="T5" s="26" t="s">
        <v>1485</v>
      </c>
      <c r="W5" s="26" t="s">
        <v>1523</v>
      </c>
      <c r="X5" s="17" t="s">
        <v>1548</v>
      </c>
    </row>
    <row r="6" spans="1:24" ht="108" customHeight="1">
      <c r="A6" s="18" t="s">
        <v>17</v>
      </c>
      <c r="B6" s="19" t="s">
        <v>18</v>
      </c>
      <c r="C6" s="20" t="s">
        <v>19</v>
      </c>
      <c r="D6" s="21" t="s">
        <v>20</v>
      </c>
      <c r="E6" s="22" t="s">
        <v>149</v>
      </c>
      <c r="F6" s="23"/>
      <c r="G6" s="23"/>
      <c r="H6" s="23"/>
      <c r="I6" s="23"/>
      <c r="J6" s="24" t="s">
        <v>152</v>
      </c>
      <c r="K6" s="25">
        <v>1</v>
      </c>
      <c r="L6" s="17" t="s">
        <v>129</v>
      </c>
      <c r="M6" s="17">
        <v>4403001001</v>
      </c>
      <c r="N6" s="26" t="s">
        <v>173</v>
      </c>
      <c r="O6" s="26" t="s">
        <v>202</v>
      </c>
      <c r="P6" s="26" t="s">
        <v>205</v>
      </c>
      <c r="Q6" s="26" t="s">
        <v>211</v>
      </c>
      <c r="S6" s="17" t="s">
        <v>1486</v>
      </c>
      <c r="T6" s="17" t="s">
        <v>261</v>
      </c>
      <c r="W6" s="54" t="s">
        <v>1524</v>
      </c>
      <c r="X6" s="17" t="s">
        <v>1554</v>
      </c>
    </row>
    <row r="7" spans="1:24" ht="108" customHeight="1">
      <c r="A7" s="18" t="s">
        <v>22</v>
      </c>
      <c r="B7" s="19" t="s">
        <v>23</v>
      </c>
      <c r="C7" s="20" t="s">
        <v>11</v>
      </c>
      <c r="D7" s="21" t="s">
        <v>12</v>
      </c>
      <c r="E7" s="22" t="s">
        <v>149</v>
      </c>
      <c r="F7" s="23"/>
      <c r="G7" s="23"/>
      <c r="H7" s="23"/>
      <c r="I7" s="23"/>
      <c r="J7" s="24"/>
      <c r="K7" s="25">
        <v>1</v>
      </c>
      <c r="L7" s="17" t="s">
        <v>130</v>
      </c>
      <c r="M7" s="17">
        <v>4403002001</v>
      </c>
      <c r="N7" s="26" t="s">
        <v>174</v>
      </c>
      <c r="O7" s="26" t="s">
        <v>203</v>
      </c>
      <c r="P7" s="26" t="s">
        <v>205</v>
      </c>
      <c r="Q7" s="26" t="s">
        <v>212</v>
      </c>
      <c r="S7" s="17" t="s">
        <v>1487</v>
      </c>
      <c r="T7" s="17" t="s">
        <v>268</v>
      </c>
      <c r="W7" s="26" t="s">
        <v>1525</v>
      </c>
      <c r="X7" s="17" t="s">
        <v>1554</v>
      </c>
    </row>
    <row r="8" spans="1:24" ht="108" customHeight="1">
      <c r="A8" s="18" t="s">
        <v>25</v>
      </c>
      <c r="B8" s="19" t="s">
        <v>26</v>
      </c>
      <c r="C8" s="20" t="s">
        <v>19</v>
      </c>
      <c r="D8" s="21" t="s">
        <v>27</v>
      </c>
      <c r="E8" s="27" t="s">
        <v>153</v>
      </c>
      <c r="F8" s="23">
        <v>40</v>
      </c>
      <c r="G8" s="23">
        <v>35</v>
      </c>
      <c r="H8" s="23" t="s">
        <v>166</v>
      </c>
      <c r="I8" s="23" t="s">
        <v>168</v>
      </c>
      <c r="J8" s="24" t="s">
        <v>154</v>
      </c>
      <c r="K8" s="25">
        <v>1</v>
      </c>
      <c r="L8" s="17" t="s">
        <v>131</v>
      </c>
      <c r="M8" s="17">
        <v>4403003001</v>
      </c>
      <c r="N8" s="26" t="s">
        <v>1528</v>
      </c>
      <c r="O8" s="26"/>
      <c r="P8" s="26"/>
      <c r="Q8" s="26" t="s">
        <v>1529</v>
      </c>
      <c r="S8" s="26" t="s">
        <v>1527</v>
      </c>
      <c r="T8" s="26" t="s">
        <v>1526</v>
      </c>
      <c r="W8" s="26" t="s">
        <v>1530</v>
      </c>
      <c r="X8" s="17" t="s">
        <v>1549</v>
      </c>
    </row>
    <row r="9" spans="1:24" ht="108" customHeight="1">
      <c r="A9" s="18" t="s">
        <v>28</v>
      </c>
      <c r="B9" s="19" t="s">
        <v>29</v>
      </c>
      <c r="C9" s="20" t="s">
        <v>11</v>
      </c>
      <c r="D9" s="21" t="s">
        <v>12</v>
      </c>
      <c r="E9" s="22" t="s">
        <v>149</v>
      </c>
      <c r="F9" s="23"/>
      <c r="G9" s="23"/>
      <c r="H9" s="23"/>
      <c r="I9" s="23"/>
      <c r="J9" s="24"/>
      <c r="K9" s="25">
        <v>1</v>
      </c>
      <c r="L9" s="17" t="s">
        <v>132</v>
      </c>
      <c r="M9" s="17">
        <v>4403004001</v>
      </c>
      <c r="N9" s="26" t="s">
        <v>175</v>
      </c>
      <c r="O9" s="26"/>
      <c r="P9" s="26"/>
      <c r="Q9" s="26" t="s">
        <v>225</v>
      </c>
      <c r="S9" s="26" t="s">
        <v>1508</v>
      </c>
      <c r="T9" s="26" t="s">
        <v>1509</v>
      </c>
      <c r="W9" s="26" t="s">
        <v>1531</v>
      </c>
      <c r="X9" s="17" t="s">
        <v>1557</v>
      </c>
    </row>
    <row r="10" spans="1:24" ht="108" customHeight="1">
      <c r="A10" s="18" t="s">
        <v>30</v>
      </c>
      <c r="B10" s="19" t="s">
        <v>31</v>
      </c>
      <c r="C10" s="20" t="s">
        <v>19</v>
      </c>
      <c r="D10" s="21" t="s">
        <v>32</v>
      </c>
      <c r="E10" s="22" t="s">
        <v>149</v>
      </c>
      <c r="F10" s="23">
        <v>45</v>
      </c>
      <c r="G10" s="23" t="s">
        <v>163</v>
      </c>
      <c r="H10" s="23"/>
      <c r="I10" s="23"/>
      <c r="J10" s="24" t="s">
        <v>155</v>
      </c>
      <c r="K10" s="25">
        <v>1</v>
      </c>
      <c r="L10" s="17" t="s">
        <v>133</v>
      </c>
      <c r="M10" s="17">
        <v>4403005001</v>
      </c>
      <c r="N10" s="26" t="s">
        <v>176</v>
      </c>
      <c r="O10" s="26"/>
      <c r="P10" s="26"/>
      <c r="Q10" s="26" t="s">
        <v>226</v>
      </c>
      <c r="S10" s="26" t="s">
        <v>1510</v>
      </c>
      <c r="T10" s="26" t="s">
        <v>1511</v>
      </c>
      <c r="W10" s="26" t="s">
        <v>1532</v>
      </c>
      <c r="X10" s="17" t="s">
        <v>1550</v>
      </c>
    </row>
    <row r="11" spans="1:24" ht="108" customHeight="1">
      <c r="A11" s="18" t="s">
        <v>34</v>
      </c>
      <c r="B11" s="19" t="s">
        <v>35</v>
      </c>
      <c r="C11" s="20" t="s">
        <v>19</v>
      </c>
      <c r="D11" s="21" t="s">
        <v>37</v>
      </c>
      <c r="E11" s="22" t="s">
        <v>149</v>
      </c>
      <c r="F11" s="23">
        <v>40</v>
      </c>
      <c r="G11" s="23" t="s">
        <v>164</v>
      </c>
      <c r="H11" s="23"/>
      <c r="I11" s="23" t="s">
        <v>168</v>
      </c>
      <c r="J11" s="24" t="s">
        <v>156</v>
      </c>
      <c r="K11" s="25">
        <v>1</v>
      </c>
      <c r="L11" s="17" t="s">
        <v>134</v>
      </c>
      <c r="M11" s="17">
        <v>4404001001</v>
      </c>
      <c r="N11" s="26" t="s">
        <v>177</v>
      </c>
      <c r="O11" s="26"/>
      <c r="P11" s="26"/>
      <c r="Q11" s="26" t="s">
        <v>227</v>
      </c>
      <c r="S11" s="26" t="s">
        <v>1512</v>
      </c>
      <c r="T11" s="26" t="s">
        <v>1513</v>
      </c>
      <c r="W11" s="26" t="s">
        <v>1533</v>
      </c>
      <c r="X11" s="17" t="s">
        <v>1551</v>
      </c>
    </row>
    <row r="12" spans="1:24" ht="108" customHeight="1">
      <c r="A12" s="18" t="s">
        <v>39</v>
      </c>
      <c r="B12" s="19" t="s">
        <v>40</v>
      </c>
      <c r="C12" s="20" t="s">
        <v>19</v>
      </c>
      <c r="D12" s="21" t="s">
        <v>42</v>
      </c>
      <c r="E12" s="24" t="s">
        <v>150</v>
      </c>
      <c r="F12" s="23"/>
      <c r="G12" s="23"/>
      <c r="H12" s="23"/>
      <c r="I12" s="23"/>
      <c r="J12" s="24" t="s">
        <v>157</v>
      </c>
      <c r="K12" s="25">
        <v>1</v>
      </c>
      <c r="L12" s="17" t="s">
        <v>147</v>
      </c>
      <c r="M12" s="17">
        <v>4404002001</v>
      </c>
      <c r="N12" s="26" t="s">
        <v>178</v>
      </c>
      <c r="O12" s="26" t="s">
        <v>201</v>
      </c>
      <c r="P12" s="26" t="s">
        <v>201</v>
      </c>
      <c r="Q12" s="26" t="s">
        <v>178</v>
      </c>
      <c r="S12" s="17" t="s">
        <v>1479</v>
      </c>
      <c r="T12" s="17" t="s">
        <v>1479</v>
      </c>
      <c r="X12" s="17" t="s">
        <v>201</v>
      </c>
    </row>
    <row r="13" spans="1:24" ht="108" customHeight="1">
      <c r="A13" s="18" t="s">
        <v>44</v>
      </c>
      <c r="B13" s="19" t="s">
        <v>45</v>
      </c>
      <c r="C13" s="20" t="s">
        <v>11</v>
      </c>
      <c r="D13" s="21" t="s">
        <v>12</v>
      </c>
      <c r="E13" s="22" t="s">
        <v>149</v>
      </c>
      <c r="F13" s="23"/>
      <c r="G13" s="23"/>
      <c r="H13" s="23"/>
      <c r="I13" s="23"/>
      <c r="J13" s="24"/>
      <c r="K13" s="25">
        <v>1</v>
      </c>
      <c r="L13" s="17" t="s">
        <v>159</v>
      </c>
      <c r="M13" s="17">
        <v>4405001001</v>
      </c>
      <c r="N13" s="28" t="s">
        <v>181</v>
      </c>
      <c r="O13" s="28" t="s">
        <v>202</v>
      </c>
      <c r="P13" s="28" t="s">
        <v>205</v>
      </c>
      <c r="Q13" s="30" t="s">
        <v>213</v>
      </c>
      <c r="R13" s="26" t="s">
        <v>180</v>
      </c>
      <c r="S13" s="26" t="s">
        <v>1488</v>
      </c>
      <c r="T13" s="26" t="s">
        <v>1489</v>
      </c>
      <c r="W13" s="26" t="s">
        <v>1534</v>
      </c>
      <c r="X13" s="26" t="s">
        <v>1555</v>
      </c>
    </row>
    <row r="14" spans="1:24" ht="108" customHeight="1">
      <c r="A14" s="18" t="s">
        <v>44</v>
      </c>
      <c r="B14" s="19" t="s">
        <v>45</v>
      </c>
      <c r="C14" s="20" t="s">
        <v>11</v>
      </c>
      <c r="D14" s="21" t="s">
        <v>12</v>
      </c>
      <c r="E14" s="22" t="s">
        <v>149</v>
      </c>
      <c r="F14" s="23"/>
      <c r="G14" s="23"/>
      <c r="H14" s="23"/>
      <c r="I14" s="23"/>
      <c r="J14" s="24"/>
      <c r="K14" s="25">
        <v>2</v>
      </c>
      <c r="L14" s="17" t="s">
        <v>160</v>
      </c>
      <c r="M14" s="17">
        <v>4405001002</v>
      </c>
      <c r="N14" s="28" t="s">
        <v>182</v>
      </c>
      <c r="O14" s="28" t="s">
        <v>202</v>
      </c>
      <c r="P14" s="28" t="s">
        <v>205</v>
      </c>
      <c r="Q14" s="30" t="s">
        <v>214</v>
      </c>
      <c r="R14" s="26" t="s">
        <v>180</v>
      </c>
      <c r="S14" s="26" t="s">
        <v>1490</v>
      </c>
      <c r="T14" s="26" t="s">
        <v>1491</v>
      </c>
      <c r="W14" s="26" t="s">
        <v>1535</v>
      </c>
      <c r="X14" s="26" t="s">
        <v>1555</v>
      </c>
    </row>
    <row r="15" spans="1:24" ht="108" customHeight="1">
      <c r="A15" s="18" t="s">
        <v>47</v>
      </c>
      <c r="B15" s="19" t="s">
        <v>48</v>
      </c>
      <c r="C15" s="20" t="s">
        <v>19</v>
      </c>
      <c r="D15" s="21" t="s">
        <v>49</v>
      </c>
      <c r="E15" s="22" t="s">
        <v>149</v>
      </c>
      <c r="F15" s="23">
        <v>40</v>
      </c>
      <c r="G15" s="23">
        <v>35</v>
      </c>
      <c r="H15" s="23"/>
      <c r="I15" s="23"/>
      <c r="J15" s="24" t="s">
        <v>158</v>
      </c>
      <c r="K15" s="25">
        <v>1</v>
      </c>
      <c r="L15" s="17" t="s">
        <v>135</v>
      </c>
      <c r="M15" s="17">
        <v>4406001001</v>
      </c>
      <c r="N15" s="17" t="s">
        <v>183</v>
      </c>
      <c r="O15" s="28" t="s">
        <v>202</v>
      </c>
      <c r="P15" s="28" t="s">
        <v>205</v>
      </c>
      <c r="Q15" s="30" t="s">
        <v>215</v>
      </c>
      <c r="S15" s="17" t="s">
        <v>1492</v>
      </c>
      <c r="T15" s="17" t="s">
        <v>675</v>
      </c>
      <c r="W15" s="26" t="s">
        <v>1536</v>
      </c>
      <c r="X15" s="17" t="s">
        <v>1554</v>
      </c>
    </row>
    <row r="16" spans="1:24" ht="108" customHeight="1">
      <c r="A16" s="18" t="s">
        <v>47</v>
      </c>
      <c r="B16" s="19" t="s">
        <v>48</v>
      </c>
      <c r="C16" s="20" t="s">
        <v>19</v>
      </c>
      <c r="D16" s="21" t="s">
        <v>49</v>
      </c>
      <c r="E16" s="22" t="s">
        <v>149</v>
      </c>
      <c r="F16" s="23">
        <v>40</v>
      </c>
      <c r="G16" s="23">
        <v>35</v>
      </c>
      <c r="H16" s="23"/>
      <c r="I16" s="23"/>
      <c r="J16" s="24" t="s">
        <v>158</v>
      </c>
      <c r="K16" s="25">
        <v>2</v>
      </c>
      <c r="L16" s="17" t="s">
        <v>136</v>
      </c>
      <c r="M16" s="17">
        <v>4406001002</v>
      </c>
      <c r="N16" s="17" t="s">
        <v>184</v>
      </c>
      <c r="O16" s="28" t="s">
        <v>202</v>
      </c>
      <c r="P16" s="28" t="s">
        <v>205</v>
      </c>
      <c r="Q16" s="30" t="s">
        <v>216</v>
      </c>
      <c r="S16" s="17" t="s">
        <v>1493</v>
      </c>
      <c r="T16" s="17" t="s">
        <v>679</v>
      </c>
      <c r="W16" s="26" t="s">
        <v>1537</v>
      </c>
      <c r="X16" s="17" t="s">
        <v>1554</v>
      </c>
    </row>
    <row r="17" spans="1:24" ht="108" customHeight="1">
      <c r="A17" s="18" t="s">
        <v>51</v>
      </c>
      <c r="B17" s="19" t="s">
        <v>52</v>
      </c>
      <c r="C17" s="20" t="s">
        <v>19</v>
      </c>
      <c r="D17" s="21" t="s">
        <v>49</v>
      </c>
      <c r="E17" s="22" t="s">
        <v>149</v>
      </c>
      <c r="F17" s="23">
        <v>40</v>
      </c>
      <c r="G17" s="23">
        <v>35</v>
      </c>
      <c r="H17" s="23"/>
      <c r="I17" s="23"/>
      <c r="J17" s="24" t="s">
        <v>158</v>
      </c>
      <c r="K17" s="25">
        <v>1</v>
      </c>
      <c r="L17" s="17" t="s">
        <v>137</v>
      </c>
      <c r="M17" s="17">
        <v>4407001001</v>
      </c>
      <c r="N17" s="17" t="s">
        <v>185</v>
      </c>
      <c r="O17" s="28" t="s">
        <v>202</v>
      </c>
      <c r="P17" s="28" t="s">
        <v>205</v>
      </c>
      <c r="Q17" s="30" t="s">
        <v>217</v>
      </c>
      <c r="S17" s="17" t="s">
        <v>1494</v>
      </c>
      <c r="T17" s="26" t="s">
        <v>1495</v>
      </c>
      <c r="W17" s="26" t="s">
        <v>1538</v>
      </c>
      <c r="X17" s="17" t="s">
        <v>1554</v>
      </c>
    </row>
    <row r="18" spans="1:24" ht="108" customHeight="1">
      <c r="A18" s="18" t="s">
        <v>51</v>
      </c>
      <c r="B18" s="19" t="s">
        <v>52</v>
      </c>
      <c r="C18" s="20" t="s">
        <v>19</v>
      </c>
      <c r="D18" s="21" t="s">
        <v>49</v>
      </c>
      <c r="E18" s="22" t="s">
        <v>149</v>
      </c>
      <c r="F18" s="23">
        <v>40</v>
      </c>
      <c r="G18" s="23">
        <v>35</v>
      </c>
      <c r="H18" s="23"/>
      <c r="I18" s="23"/>
      <c r="J18" s="24" t="s">
        <v>158</v>
      </c>
      <c r="K18" s="25">
        <v>2</v>
      </c>
      <c r="L18" s="17" t="s">
        <v>138</v>
      </c>
      <c r="M18" s="17">
        <v>4407001002</v>
      </c>
      <c r="N18" s="17" t="s">
        <v>186</v>
      </c>
      <c r="O18" s="28" t="s">
        <v>202</v>
      </c>
      <c r="P18" s="28" t="s">
        <v>205</v>
      </c>
      <c r="Q18" s="30" t="s">
        <v>218</v>
      </c>
      <c r="S18" s="17" t="s">
        <v>1496</v>
      </c>
      <c r="T18" s="26" t="s">
        <v>1497</v>
      </c>
      <c r="W18" s="26" t="s">
        <v>1539</v>
      </c>
      <c r="X18" s="17" t="s">
        <v>1554</v>
      </c>
    </row>
    <row r="19" spans="1:24" ht="108" customHeight="1">
      <c r="A19" s="18" t="s">
        <v>51</v>
      </c>
      <c r="B19" s="19" t="s">
        <v>52</v>
      </c>
      <c r="C19" s="20" t="s">
        <v>19</v>
      </c>
      <c r="D19" s="21" t="s">
        <v>49</v>
      </c>
      <c r="E19" s="22" t="s">
        <v>149</v>
      </c>
      <c r="F19" s="23">
        <v>40</v>
      </c>
      <c r="G19" s="23">
        <v>35</v>
      </c>
      <c r="H19" s="23"/>
      <c r="I19" s="23"/>
      <c r="J19" s="24" t="s">
        <v>158</v>
      </c>
      <c r="K19" s="25">
        <v>3</v>
      </c>
      <c r="L19" s="17" t="s">
        <v>139</v>
      </c>
      <c r="M19" s="17">
        <v>4407001003</v>
      </c>
      <c r="N19" s="17" t="s">
        <v>187</v>
      </c>
      <c r="O19" s="28" t="s">
        <v>202</v>
      </c>
      <c r="P19" s="28" t="s">
        <v>205</v>
      </c>
      <c r="Q19" s="30" t="s">
        <v>219</v>
      </c>
      <c r="S19" s="17" t="s">
        <v>1498</v>
      </c>
      <c r="T19" s="26" t="s">
        <v>1499</v>
      </c>
      <c r="W19" s="26" t="s">
        <v>1540</v>
      </c>
      <c r="X19" s="17" t="s">
        <v>1554</v>
      </c>
    </row>
    <row r="20" spans="1:24" ht="108" customHeight="1">
      <c r="A20" s="18" t="s">
        <v>54</v>
      </c>
      <c r="B20" s="19" t="s">
        <v>55</v>
      </c>
      <c r="C20" s="20" t="s">
        <v>19</v>
      </c>
      <c r="D20" s="21" t="s">
        <v>49</v>
      </c>
      <c r="E20" s="22" t="s">
        <v>149</v>
      </c>
      <c r="F20" s="23">
        <v>40</v>
      </c>
      <c r="G20" s="23">
        <v>35</v>
      </c>
      <c r="H20" s="23"/>
      <c r="I20" s="23"/>
      <c r="J20" s="24" t="s">
        <v>158</v>
      </c>
      <c r="K20" s="25">
        <v>1</v>
      </c>
      <c r="L20" s="17" t="s">
        <v>140</v>
      </c>
      <c r="M20" s="17">
        <v>4408001001</v>
      </c>
      <c r="N20" s="26" t="s">
        <v>190</v>
      </c>
      <c r="O20" s="26"/>
      <c r="P20" s="26"/>
      <c r="Q20" s="26" t="s">
        <v>228</v>
      </c>
      <c r="S20" s="26" t="s">
        <v>1519</v>
      </c>
      <c r="T20" s="26" t="s">
        <v>1514</v>
      </c>
      <c r="U20" s="26"/>
      <c r="V20" s="26" t="s">
        <v>441</v>
      </c>
      <c r="W20" s="26" t="s">
        <v>1541</v>
      </c>
      <c r="X20" s="17" t="s">
        <v>1556</v>
      </c>
    </row>
    <row r="21" spans="1:24" ht="108" customHeight="1">
      <c r="A21" s="18" t="s">
        <v>54</v>
      </c>
      <c r="B21" s="19" t="s">
        <v>55</v>
      </c>
      <c r="C21" s="20" t="s">
        <v>19</v>
      </c>
      <c r="D21" s="21" t="s">
        <v>49</v>
      </c>
      <c r="E21" s="22" t="s">
        <v>149</v>
      </c>
      <c r="F21" s="23">
        <v>40</v>
      </c>
      <c r="G21" s="23">
        <v>35</v>
      </c>
      <c r="H21" s="23"/>
      <c r="I21" s="23"/>
      <c r="J21" s="24" t="s">
        <v>158</v>
      </c>
      <c r="K21" s="25">
        <v>2</v>
      </c>
      <c r="L21" s="17" t="s">
        <v>141</v>
      </c>
      <c r="M21" s="17">
        <v>4408001002</v>
      </c>
      <c r="N21" s="17" t="s">
        <v>191</v>
      </c>
      <c r="O21" s="28" t="s">
        <v>202</v>
      </c>
      <c r="P21" s="28" t="s">
        <v>205</v>
      </c>
      <c r="Q21" s="30" t="s">
        <v>220</v>
      </c>
      <c r="S21" s="17" t="s">
        <v>1500</v>
      </c>
      <c r="T21" s="26" t="s">
        <v>1501</v>
      </c>
      <c r="W21" s="26" t="s">
        <v>1542</v>
      </c>
      <c r="X21" s="17" t="s">
        <v>1554</v>
      </c>
    </row>
    <row r="22" spans="1:24" ht="108" customHeight="1">
      <c r="A22" s="18" t="s">
        <v>54</v>
      </c>
      <c r="B22" s="19" t="s">
        <v>55</v>
      </c>
      <c r="C22" s="20" t="s">
        <v>19</v>
      </c>
      <c r="D22" s="21" t="s">
        <v>49</v>
      </c>
      <c r="E22" s="22" t="s">
        <v>149</v>
      </c>
      <c r="F22" s="23">
        <v>40</v>
      </c>
      <c r="G22" s="23">
        <v>35</v>
      </c>
      <c r="H22" s="23"/>
      <c r="I22" s="23"/>
      <c r="J22" s="24" t="s">
        <v>158</v>
      </c>
      <c r="K22" s="25">
        <v>3</v>
      </c>
      <c r="L22" s="17" t="s">
        <v>142</v>
      </c>
      <c r="M22" s="17">
        <v>4408001003</v>
      </c>
      <c r="N22" s="17" t="s">
        <v>189</v>
      </c>
      <c r="O22" s="28" t="s">
        <v>202</v>
      </c>
      <c r="P22" s="28" t="s">
        <v>205</v>
      </c>
      <c r="Q22" s="30" t="s">
        <v>221</v>
      </c>
      <c r="R22" s="26" t="s">
        <v>188</v>
      </c>
      <c r="S22" s="26" t="s">
        <v>1502</v>
      </c>
      <c r="T22" s="26" t="s">
        <v>1503</v>
      </c>
      <c r="W22" s="26" t="s">
        <v>1543</v>
      </c>
      <c r="X22" s="17" t="s">
        <v>1554</v>
      </c>
    </row>
    <row r="23" spans="1:24" ht="108" customHeight="1">
      <c r="A23" s="18" t="s">
        <v>57</v>
      </c>
      <c r="B23" s="19" t="s">
        <v>58</v>
      </c>
      <c r="C23" s="20" t="s">
        <v>19</v>
      </c>
      <c r="D23" s="21" t="s">
        <v>59</v>
      </c>
      <c r="E23" s="22" t="s">
        <v>149</v>
      </c>
      <c r="F23" s="23">
        <v>40</v>
      </c>
      <c r="G23" s="23">
        <v>35</v>
      </c>
      <c r="H23" s="23"/>
      <c r="I23" s="23"/>
      <c r="J23" s="24" t="s">
        <v>158</v>
      </c>
      <c r="K23" s="25">
        <v>1</v>
      </c>
      <c r="L23" s="17" t="s">
        <v>146</v>
      </c>
      <c r="M23" s="17">
        <v>4409001001</v>
      </c>
      <c r="N23" s="26" t="s">
        <v>230</v>
      </c>
      <c r="O23" s="26"/>
      <c r="P23" s="26"/>
      <c r="Q23" s="26" t="s">
        <v>229</v>
      </c>
      <c r="R23" s="26" t="s">
        <v>206</v>
      </c>
      <c r="S23" s="26" t="s">
        <v>1515</v>
      </c>
      <c r="T23" s="26" t="s">
        <v>1516</v>
      </c>
      <c r="W23" s="26" t="s">
        <v>1544</v>
      </c>
      <c r="X23" s="17" t="s">
        <v>1552</v>
      </c>
    </row>
    <row r="24" spans="1:24" ht="108" customHeight="1">
      <c r="A24" s="18" t="s">
        <v>61</v>
      </c>
      <c r="B24" s="19" t="s">
        <v>62</v>
      </c>
      <c r="C24" s="20" t="s">
        <v>11</v>
      </c>
      <c r="D24" s="21" t="s">
        <v>12</v>
      </c>
      <c r="E24" s="22" t="s">
        <v>149</v>
      </c>
      <c r="F24" s="23"/>
      <c r="G24" s="23"/>
      <c r="H24" s="23"/>
      <c r="I24" s="23"/>
      <c r="J24" s="24"/>
      <c r="K24" s="25">
        <v>1</v>
      </c>
      <c r="L24" s="17" t="s">
        <v>143</v>
      </c>
      <c r="M24" s="17">
        <v>4410001001</v>
      </c>
      <c r="N24" s="17" t="s">
        <v>192</v>
      </c>
      <c r="O24" s="28" t="s">
        <v>202</v>
      </c>
      <c r="P24" s="28" t="s">
        <v>205</v>
      </c>
      <c r="Q24" s="30" t="s">
        <v>222</v>
      </c>
      <c r="S24" s="17" t="s">
        <v>1504</v>
      </c>
      <c r="T24" s="26" t="s">
        <v>1505</v>
      </c>
      <c r="W24" s="26" t="s">
        <v>1545</v>
      </c>
      <c r="X24" s="17" t="s">
        <v>1554</v>
      </c>
    </row>
    <row r="25" spans="1:24" ht="108" customHeight="1">
      <c r="A25" s="18" t="s">
        <v>61</v>
      </c>
      <c r="B25" s="19" t="s">
        <v>62</v>
      </c>
      <c r="C25" s="20" t="s">
        <v>11</v>
      </c>
      <c r="D25" s="21" t="s">
        <v>12</v>
      </c>
      <c r="E25" s="22" t="s">
        <v>149</v>
      </c>
      <c r="F25" s="23"/>
      <c r="G25" s="23"/>
      <c r="H25" s="23"/>
      <c r="I25" s="23"/>
      <c r="J25" s="24"/>
      <c r="K25" s="25">
        <v>2</v>
      </c>
      <c r="L25" s="17" t="s">
        <v>144</v>
      </c>
      <c r="M25" s="17">
        <v>4410001002</v>
      </c>
      <c r="N25" s="17" t="s">
        <v>193</v>
      </c>
      <c r="O25" s="28" t="s">
        <v>202</v>
      </c>
      <c r="P25" s="28" t="s">
        <v>205</v>
      </c>
      <c r="Q25" s="30" t="s">
        <v>223</v>
      </c>
      <c r="S25" s="17" t="s">
        <v>1506</v>
      </c>
      <c r="T25" s="26" t="s">
        <v>1507</v>
      </c>
      <c r="W25" s="26" t="s">
        <v>1546</v>
      </c>
      <c r="X25" s="17" t="s">
        <v>1554</v>
      </c>
    </row>
    <row r="26" spans="1:24" ht="108" customHeight="1">
      <c r="A26" s="18" t="s">
        <v>64</v>
      </c>
      <c r="B26" s="19" t="s">
        <v>65</v>
      </c>
      <c r="C26" s="20" t="s">
        <v>19</v>
      </c>
      <c r="D26" s="21" t="s">
        <v>49</v>
      </c>
      <c r="E26" s="22" t="s">
        <v>149</v>
      </c>
      <c r="F26" s="23">
        <v>40</v>
      </c>
      <c r="G26" s="23">
        <v>35</v>
      </c>
      <c r="H26" s="23"/>
      <c r="I26" s="23"/>
      <c r="J26" s="24"/>
      <c r="K26" s="25">
        <v>1</v>
      </c>
      <c r="L26" s="17" t="s">
        <v>145</v>
      </c>
      <c r="M26" s="17">
        <v>4411001001</v>
      </c>
      <c r="N26" s="26" t="s">
        <v>199</v>
      </c>
      <c r="O26" s="26"/>
      <c r="P26" s="26"/>
      <c r="Q26" s="26" t="s">
        <v>224</v>
      </c>
      <c r="S26" s="26" t="s">
        <v>1517</v>
      </c>
      <c r="T26" s="26" t="s">
        <v>1518</v>
      </c>
      <c r="W26" s="26" t="s">
        <v>1547</v>
      </c>
      <c r="X26" s="17" t="s">
        <v>1548</v>
      </c>
    </row>
    <row r="27" spans="1:24" ht="108" customHeight="1"/>
  </sheetData>
  <autoFilter ref="A1:X1" xr:uid="{390759D4-C641-4221-9B6C-0BBC7A2CB839}"/>
  <phoneticPr fontId="7"/>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workbookViewId="0">
      <pane ySplit="3" topLeftCell="A15" activePane="bottomLeft" state="frozen"/>
      <selection pane="bottomLeft" activeCell="A25" sqref="A25:G25"/>
    </sheetView>
  </sheetViews>
  <sheetFormatPr baseColWidth="10" defaultColWidth="8.83203125" defaultRowHeight="14"/>
  <cols>
    <col min="1" max="1" width="6" customWidth="1"/>
    <col min="2" max="2" width="26" customWidth="1"/>
    <col min="3" max="3" width="12" customWidth="1"/>
    <col min="4" max="4" width="10" customWidth="1"/>
    <col min="5" max="5" width="14" customWidth="1"/>
    <col min="6" max="6" width="52" customWidth="1"/>
    <col min="7" max="7" width="22" customWidth="1"/>
  </cols>
  <sheetData>
    <row r="1" spans="1:7" ht="30" customHeight="1">
      <c r="A1" s="55" t="s">
        <v>0</v>
      </c>
      <c r="B1" s="56"/>
      <c r="C1" s="56"/>
      <c r="D1" s="56"/>
      <c r="E1" s="56"/>
      <c r="F1" s="56"/>
      <c r="G1" s="56"/>
    </row>
    <row r="2" spans="1:7" ht="28" customHeight="1">
      <c r="A2" s="59" t="s">
        <v>1</v>
      </c>
      <c r="B2" s="56"/>
      <c r="C2" s="56"/>
      <c r="D2" s="56"/>
      <c r="E2" s="56"/>
      <c r="F2" s="56"/>
      <c r="G2" s="56"/>
    </row>
    <row r="3" spans="1:7" ht="34" customHeight="1">
      <c r="A3" s="1" t="s">
        <v>2</v>
      </c>
      <c r="B3" s="1" t="s">
        <v>3</v>
      </c>
      <c r="C3" s="1" t="s">
        <v>4</v>
      </c>
      <c r="D3" s="1" t="s">
        <v>5</v>
      </c>
      <c r="E3" s="1" t="s">
        <v>6</v>
      </c>
      <c r="F3" s="1" t="s">
        <v>7</v>
      </c>
      <c r="G3" s="1" t="s">
        <v>8</v>
      </c>
    </row>
    <row r="4" spans="1:7" ht="15">
      <c r="A4" s="2" t="s">
        <v>9</v>
      </c>
      <c r="B4" s="3" t="s">
        <v>10</v>
      </c>
      <c r="C4" s="4" t="s">
        <v>11</v>
      </c>
      <c r="D4" s="4" t="s">
        <v>11</v>
      </c>
      <c r="E4" s="4" t="s">
        <v>11</v>
      </c>
      <c r="F4" s="5" t="s">
        <v>12</v>
      </c>
      <c r="G4" s="6" t="s">
        <v>13</v>
      </c>
    </row>
    <row r="5" spans="1:7" ht="30">
      <c r="A5" s="7" t="s">
        <v>14</v>
      </c>
      <c r="B5" s="8" t="s">
        <v>15</v>
      </c>
      <c r="C5" s="4" t="s">
        <v>11</v>
      </c>
      <c r="D5" s="4" t="s">
        <v>11</v>
      </c>
      <c r="E5" s="4" t="s">
        <v>11</v>
      </c>
      <c r="F5" s="9" t="s">
        <v>12</v>
      </c>
      <c r="G5" s="10" t="s">
        <v>16</v>
      </c>
    </row>
    <row r="6" spans="1:7" ht="15">
      <c r="A6" s="2" t="s">
        <v>17</v>
      </c>
      <c r="B6" s="3" t="s">
        <v>18</v>
      </c>
      <c r="C6" s="4" t="s">
        <v>11</v>
      </c>
      <c r="D6" s="4" t="s">
        <v>19</v>
      </c>
      <c r="E6" s="4" t="s">
        <v>19</v>
      </c>
      <c r="F6" s="5" t="s">
        <v>20</v>
      </c>
      <c r="G6" s="6" t="s">
        <v>21</v>
      </c>
    </row>
    <row r="7" spans="1:7" ht="15">
      <c r="A7" s="7" t="s">
        <v>22</v>
      </c>
      <c r="B7" s="8" t="s">
        <v>23</v>
      </c>
      <c r="C7" s="4" t="s">
        <v>11</v>
      </c>
      <c r="D7" s="4" t="s">
        <v>11</v>
      </c>
      <c r="E7" s="4" t="s">
        <v>11</v>
      </c>
      <c r="F7" s="9" t="s">
        <v>12</v>
      </c>
      <c r="G7" s="10" t="s">
        <v>24</v>
      </c>
    </row>
    <row r="8" spans="1:7" ht="39">
      <c r="A8" s="2" t="s">
        <v>25</v>
      </c>
      <c r="B8" s="3" t="s">
        <v>26</v>
      </c>
      <c r="C8" s="4" t="s">
        <v>11</v>
      </c>
      <c r="D8" s="4" t="s">
        <v>19</v>
      </c>
      <c r="E8" s="4" t="s">
        <v>19</v>
      </c>
      <c r="F8" s="5" t="s">
        <v>27</v>
      </c>
      <c r="G8" s="6" t="s">
        <v>21</v>
      </c>
    </row>
    <row r="9" spans="1:7" ht="15">
      <c r="A9" s="7" t="s">
        <v>28</v>
      </c>
      <c r="B9" s="8" t="s">
        <v>29</v>
      </c>
      <c r="C9" s="4" t="s">
        <v>11</v>
      </c>
      <c r="D9" s="4" t="s">
        <v>11</v>
      </c>
      <c r="E9" s="4" t="s">
        <v>11</v>
      </c>
      <c r="F9" s="9" t="s">
        <v>12</v>
      </c>
      <c r="G9" s="10" t="s">
        <v>24</v>
      </c>
    </row>
    <row r="10" spans="1:7" ht="26">
      <c r="A10" s="2" t="s">
        <v>30</v>
      </c>
      <c r="B10" s="3" t="s">
        <v>31</v>
      </c>
      <c r="C10" s="4" t="s">
        <v>11</v>
      </c>
      <c r="D10" s="4" t="s">
        <v>19</v>
      </c>
      <c r="E10" s="4" t="s">
        <v>19</v>
      </c>
      <c r="F10" s="5" t="s">
        <v>32</v>
      </c>
      <c r="G10" s="6" t="s">
        <v>33</v>
      </c>
    </row>
    <row r="11" spans="1:7" ht="39">
      <c r="A11" s="7" t="s">
        <v>34</v>
      </c>
      <c r="B11" s="8" t="s">
        <v>35</v>
      </c>
      <c r="C11" s="4" t="s">
        <v>11</v>
      </c>
      <c r="D11" s="4" t="s">
        <v>19</v>
      </c>
      <c r="E11" s="4" t="s">
        <v>36</v>
      </c>
      <c r="F11" s="9" t="s">
        <v>37</v>
      </c>
      <c r="G11" s="10" t="s">
        <v>38</v>
      </c>
    </row>
    <row r="12" spans="1:7" ht="39">
      <c r="A12" s="2" t="s">
        <v>39</v>
      </c>
      <c r="B12" s="3" t="s">
        <v>40</v>
      </c>
      <c r="C12" s="11" t="s">
        <v>41</v>
      </c>
      <c r="D12" s="4" t="s">
        <v>19</v>
      </c>
      <c r="E12" s="4" t="s">
        <v>36</v>
      </c>
      <c r="F12" s="5" t="s">
        <v>42</v>
      </c>
      <c r="G12" s="6" t="s">
        <v>43</v>
      </c>
    </row>
    <row r="13" spans="1:7" ht="15">
      <c r="A13" s="7" t="s">
        <v>44</v>
      </c>
      <c r="B13" s="8" t="s">
        <v>45</v>
      </c>
      <c r="C13" s="4" t="s">
        <v>11</v>
      </c>
      <c r="D13" s="4" t="s">
        <v>11</v>
      </c>
      <c r="E13" s="4" t="s">
        <v>11</v>
      </c>
      <c r="F13" s="9" t="s">
        <v>12</v>
      </c>
      <c r="G13" s="10" t="s">
        <v>46</v>
      </c>
    </row>
    <row r="14" spans="1:7" ht="26">
      <c r="A14" s="2" t="s">
        <v>47</v>
      </c>
      <c r="B14" s="3" t="s">
        <v>48</v>
      </c>
      <c r="C14" s="4" t="s">
        <v>11</v>
      </c>
      <c r="D14" s="4" t="s">
        <v>19</v>
      </c>
      <c r="E14" s="4" t="s">
        <v>19</v>
      </c>
      <c r="F14" s="5" t="s">
        <v>49</v>
      </c>
      <c r="G14" s="6" t="s">
        <v>50</v>
      </c>
    </row>
    <row r="15" spans="1:7" ht="26">
      <c r="A15" s="7" t="s">
        <v>51</v>
      </c>
      <c r="B15" s="8" t="s">
        <v>52</v>
      </c>
      <c r="C15" s="4" t="s">
        <v>11</v>
      </c>
      <c r="D15" s="4" t="s">
        <v>19</v>
      </c>
      <c r="E15" s="4" t="s">
        <v>19</v>
      </c>
      <c r="F15" s="9" t="s">
        <v>49</v>
      </c>
      <c r="G15" s="10" t="s">
        <v>53</v>
      </c>
    </row>
    <row r="16" spans="1:7" ht="26">
      <c r="A16" s="2" t="s">
        <v>54</v>
      </c>
      <c r="B16" s="3" t="s">
        <v>55</v>
      </c>
      <c r="C16" s="4" t="s">
        <v>11</v>
      </c>
      <c r="D16" s="4" t="s">
        <v>19</v>
      </c>
      <c r="E16" s="4" t="s">
        <v>19</v>
      </c>
      <c r="F16" s="5" t="s">
        <v>49</v>
      </c>
      <c r="G16" s="6" t="s">
        <v>56</v>
      </c>
    </row>
    <row r="17" spans="1:7" ht="39">
      <c r="A17" s="7" t="s">
        <v>57</v>
      </c>
      <c r="B17" s="8" t="s">
        <v>58</v>
      </c>
      <c r="C17" s="4" t="s">
        <v>11</v>
      </c>
      <c r="D17" s="4" t="s">
        <v>19</v>
      </c>
      <c r="E17" s="4" t="s">
        <v>19</v>
      </c>
      <c r="F17" s="9" t="s">
        <v>59</v>
      </c>
      <c r="G17" s="10" t="s">
        <v>60</v>
      </c>
    </row>
    <row r="18" spans="1:7" ht="30">
      <c r="A18" s="2" t="s">
        <v>61</v>
      </c>
      <c r="B18" s="3" t="s">
        <v>62</v>
      </c>
      <c r="C18" s="4" t="s">
        <v>11</v>
      </c>
      <c r="D18" s="4" t="s">
        <v>11</v>
      </c>
      <c r="E18" s="4" t="s">
        <v>11</v>
      </c>
      <c r="F18" s="5" t="s">
        <v>12</v>
      </c>
      <c r="G18" s="6" t="s">
        <v>63</v>
      </c>
    </row>
    <row r="19" spans="1:7" ht="26">
      <c r="A19" s="7" t="s">
        <v>64</v>
      </c>
      <c r="B19" s="8" t="s">
        <v>65</v>
      </c>
      <c r="C19" s="4" t="s">
        <v>11</v>
      </c>
      <c r="D19" s="4" t="s">
        <v>19</v>
      </c>
      <c r="E19" s="4" t="s">
        <v>19</v>
      </c>
      <c r="F19" s="9" t="s">
        <v>49</v>
      </c>
      <c r="G19" s="10" t="s">
        <v>66</v>
      </c>
    </row>
    <row r="21" spans="1:7" ht="18" customHeight="1">
      <c r="A21" s="58" t="s">
        <v>67</v>
      </c>
      <c r="B21" s="56"/>
      <c r="C21" s="56"/>
      <c r="D21" s="56"/>
      <c r="E21" s="56"/>
      <c r="F21" s="56"/>
      <c r="G21" s="56"/>
    </row>
    <row r="22" spans="1:7" ht="30" customHeight="1">
      <c r="A22" s="57" t="s">
        <v>68</v>
      </c>
      <c r="B22" s="56"/>
      <c r="C22" s="56"/>
      <c r="D22" s="56"/>
      <c r="E22" s="56"/>
      <c r="F22" s="56"/>
      <c r="G22" s="56"/>
    </row>
    <row r="23" spans="1:7" ht="30" customHeight="1">
      <c r="A23" s="57" t="s">
        <v>69</v>
      </c>
      <c r="B23" s="56"/>
      <c r="C23" s="56"/>
      <c r="D23" s="56"/>
      <c r="E23" s="56"/>
      <c r="F23" s="56"/>
      <c r="G23" s="56"/>
    </row>
    <row r="24" spans="1:7" ht="30" customHeight="1">
      <c r="A24" s="57" t="s">
        <v>70</v>
      </c>
      <c r="B24" s="56"/>
      <c r="C24" s="56"/>
      <c r="D24" s="56"/>
      <c r="E24" s="56"/>
      <c r="F24" s="56"/>
      <c r="G24" s="56"/>
    </row>
    <row r="25" spans="1:7" ht="30" customHeight="1">
      <c r="A25" s="60" t="s">
        <v>198</v>
      </c>
      <c r="B25" s="56"/>
      <c r="C25" s="56"/>
      <c r="D25" s="56"/>
      <c r="E25" s="56"/>
      <c r="F25" s="56"/>
      <c r="G25" s="56"/>
    </row>
    <row r="26" spans="1:7" ht="30" customHeight="1">
      <c r="A26" s="57" t="s">
        <v>71</v>
      </c>
      <c r="B26" s="56"/>
      <c r="C26" s="56"/>
      <c r="D26" s="56"/>
      <c r="E26" s="56"/>
      <c r="F26" s="56"/>
      <c r="G26" s="56"/>
    </row>
    <row r="27" spans="1:7" ht="30" customHeight="1">
      <c r="A27" s="57" t="s">
        <v>72</v>
      </c>
      <c r="B27" s="56"/>
      <c r="C27" s="56"/>
      <c r="D27" s="56"/>
      <c r="E27" s="56"/>
      <c r="F27" s="56"/>
      <c r="G27" s="56"/>
    </row>
  </sheetData>
  <mergeCells count="9">
    <mergeCell ref="A1:G1"/>
    <mergeCell ref="A27:G27"/>
    <mergeCell ref="A21:G21"/>
    <mergeCell ref="A22:G22"/>
    <mergeCell ref="A26:G26"/>
    <mergeCell ref="A24:G24"/>
    <mergeCell ref="A2:G2"/>
    <mergeCell ref="A25:G25"/>
    <mergeCell ref="A23:G23"/>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pane ySplit="2" topLeftCell="A3" activePane="bottomLeft" state="frozen"/>
      <selection pane="bottomLeft" activeCell="A11" sqref="A11:D11"/>
    </sheetView>
  </sheetViews>
  <sheetFormatPr baseColWidth="10" defaultColWidth="8.83203125" defaultRowHeight="14"/>
  <cols>
    <col min="1" max="1" width="30" customWidth="1"/>
    <col min="2" max="2" width="58" customWidth="1"/>
    <col min="3" max="3" width="26" customWidth="1"/>
    <col min="4" max="4" width="16" customWidth="1"/>
  </cols>
  <sheetData>
    <row r="1" spans="1:4" ht="28" customHeight="1">
      <c r="A1" s="55" t="s">
        <v>73</v>
      </c>
      <c r="B1" s="56"/>
      <c r="C1" s="56"/>
      <c r="D1" s="56"/>
    </row>
    <row r="2" spans="1:4" ht="24" customHeight="1">
      <c r="A2" s="1" t="s">
        <v>3</v>
      </c>
      <c r="B2" s="1" t="s">
        <v>74</v>
      </c>
      <c r="C2" s="1" t="s">
        <v>75</v>
      </c>
      <c r="D2" s="1" t="s">
        <v>76</v>
      </c>
    </row>
    <row r="3" spans="1:4" ht="15">
      <c r="A3" s="8" t="s">
        <v>18</v>
      </c>
      <c r="B3" s="9" t="s">
        <v>77</v>
      </c>
      <c r="C3" s="7" t="s">
        <v>78</v>
      </c>
      <c r="D3" s="10" t="s">
        <v>79</v>
      </c>
    </row>
    <row r="4" spans="1:4" ht="39">
      <c r="A4" s="3" t="s">
        <v>26</v>
      </c>
      <c r="B4" s="5" t="s">
        <v>80</v>
      </c>
      <c r="C4" s="2" t="s">
        <v>78</v>
      </c>
      <c r="D4" s="6" t="s">
        <v>79</v>
      </c>
    </row>
    <row r="5" spans="1:4" ht="30">
      <c r="A5" s="8" t="s">
        <v>31</v>
      </c>
      <c r="B5" s="9" t="s">
        <v>81</v>
      </c>
      <c r="C5" s="7" t="s">
        <v>82</v>
      </c>
      <c r="D5" s="10" t="s">
        <v>83</v>
      </c>
    </row>
    <row r="6" spans="1:4" ht="39">
      <c r="A6" s="3" t="s">
        <v>35</v>
      </c>
      <c r="B6" s="5" t="s">
        <v>84</v>
      </c>
      <c r="C6" s="2" t="s">
        <v>78</v>
      </c>
      <c r="D6" s="6" t="s">
        <v>79</v>
      </c>
    </row>
    <row r="7" spans="1:4" ht="26">
      <c r="A7" s="8" t="s">
        <v>40</v>
      </c>
      <c r="B7" s="9" t="s">
        <v>85</v>
      </c>
      <c r="C7" s="7" t="s">
        <v>78</v>
      </c>
      <c r="D7" s="10" t="s">
        <v>79</v>
      </c>
    </row>
    <row r="8" spans="1:4" ht="30">
      <c r="A8" s="3" t="s">
        <v>86</v>
      </c>
      <c r="B8" s="5" t="s">
        <v>87</v>
      </c>
      <c r="C8" s="2" t="s">
        <v>78</v>
      </c>
      <c r="D8" s="6" t="s">
        <v>79</v>
      </c>
    </row>
    <row r="9" spans="1:4" ht="30">
      <c r="A9" s="8" t="s">
        <v>88</v>
      </c>
      <c r="B9" s="9" t="s">
        <v>89</v>
      </c>
      <c r="C9" s="7" t="s">
        <v>78</v>
      </c>
      <c r="D9" s="10" t="s">
        <v>90</v>
      </c>
    </row>
    <row r="11" spans="1:4" ht="30" customHeight="1">
      <c r="A11" s="61" t="s">
        <v>91</v>
      </c>
      <c r="B11" s="56"/>
      <c r="C11" s="56"/>
      <c r="D11" s="56"/>
    </row>
  </sheetData>
  <mergeCells count="2">
    <mergeCell ref="A1:D1"/>
    <mergeCell ref="A11:D11"/>
  </mergeCells>
  <phoneticPr fontId="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ySplit="2" topLeftCell="A3" activePane="bottomLeft" state="frozen"/>
      <selection pane="bottomLeft"/>
    </sheetView>
  </sheetViews>
  <sheetFormatPr baseColWidth="10" defaultColWidth="8.83203125" defaultRowHeight="14"/>
  <cols>
    <col min="1" max="1" width="12" customWidth="1"/>
    <col min="2" max="2" width="44" customWidth="1"/>
    <col min="3" max="3" width="42" customWidth="1"/>
    <col min="4" max="4" width="40" customWidth="1"/>
  </cols>
  <sheetData>
    <row r="1" spans="1:4" ht="28" customHeight="1">
      <c r="A1" s="55" t="s">
        <v>92</v>
      </c>
      <c r="B1" s="56"/>
      <c r="C1" s="56"/>
      <c r="D1" s="56"/>
    </row>
    <row r="2" spans="1:4" ht="24" customHeight="1">
      <c r="A2" s="1" t="s">
        <v>93</v>
      </c>
      <c r="B2" s="1" t="s">
        <v>94</v>
      </c>
      <c r="C2" s="1" t="s">
        <v>95</v>
      </c>
      <c r="D2" s="1" t="s">
        <v>96</v>
      </c>
    </row>
    <row r="3" spans="1:4" ht="30">
      <c r="A3" s="7" t="s">
        <v>97</v>
      </c>
      <c r="B3" s="12" t="s">
        <v>98</v>
      </c>
      <c r="C3" s="9" t="s">
        <v>99</v>
      </c>
      <c r="D3" s="9" t="s">
        <v>100</v>
      </c>
    </row>
    <row r="4" spans="1:4" ht="30">
      <c r="A4" s="2" t="s">
        <v>101</v>
      </c>
      <c r="B4" s="13" t="s">
        <v>102</v>
      </c>
      <c r="C4" s="5" t="s">
        <v>103</v>
      </c>
      <c r="D4" s="5" t="s">
        <v>104</v>
      </c>
    </row>
    <row r="5" spans="1:4" ht="15">
      <c r="A5" s="7" t="s">
        <v>105</v>
      </c>
      <c r="B5" s="12" t="s">
        <v>106</v>
      </c>
      <c r="C5" s="9" t="s">
        <v>107</v>
      </c>
      <c r="D5" s="9" t="s">
        <v>108</v>
      </c>
    </row>
    <row r="6" spans="1:4" ht="39">
      <c r="A6" s="2" t="s">
        <v>105</v>
      </c>
      <c r="B6" s="13" t="s">
        <v>109</v>
      </c>
      <c r="C6" s="5" t="s">
        <v>110</v>
      </c>
      <c r="D6" s="5" t="s">
        <v>111</v>
      </c>
    </row>
    <row r="7" spans="1:4" ht="30">
      <c r="A7" s="7" t="s">
        <v>112</v>
      </c>
      <c r="B7" s="12" t="s">
        <v>113</v>
      </c>
      <c r="C7" s="9" t="s">
        <v>114</v>
      </c>
      <c r="D7" s="9" t="s">
        <v>115</v>
      </c>
    </row>
    <row r="8" spans="1:4" ht="15">
      <c r="A8" s="2" t="s">
        <v>116</v>
      </c>
      <c r="B8" s="13" t="s">
        <v>117</v>
      </c>
      <c r="C8" s="5" t="s">
        <v>118</v>
      </c>
      <c r="D8" s="5" t="s">
        <v>119</v>
      </c>
    </row>
    <row r="9" spans="1:4" ht="45">
      <c r="A9" s="7" t="s">
        <v>120</v>
      </c>
      <c r="B9" s="12" t="s">
        <v>121</v>
      </c>
      <c r="C9" s="9" t="s">
        <v>122</v>
      </c>
      <c r="D9" s="9" t="s">
        <v>123</v>
      </c>
    </row>
    <row r="11" spans="1:4" ht="44" customHeight="1">
      <c r="A11" s="61" t="s">
        <v>124</v>
      </c>
      <c r="B11" s="56"/>
      <c r="C11" s="56"/>
      <c r="D11" s="56"/>
    </row>
  </sheetData>
  <mergeCells count="2">
    <mergeCell ref="A1:D1"/>
    <mergeCell ref="A11:D11"/>
  </mergeCells>
  <phoneticPr fontId="7"/>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12C53-6E6C-7F45-BF6B-FBA9932FD870}">
  <sheetPr>
    <pageSetUpPr fitToPage="1"/>
  </sheetPr>
  <dimension ref="D1:AC330"/>
  <sheetViews>
    <sheetView showGridLines="0" topLeftCell="F1" zoomScale="95" zoomScaleNormal="95" zoomScaleSheetLayoutView="70" workbookViewId="0">
      <selection activeCell="T9" sqref="T9"/>
    </sheetView>
  </sheetViews>
  <sheetFormatPr baseColWidth="10" defaultColWidth="9" defaultRowHeight="19" outlineLevelCol="1"/>
  <cols>
    <col min="1" max="6" width="9" style="38" customWidth="1"/>
    <col min="7" max="7" width="19.1640625" style="38" customWidth="1"/>
    <col min="8" max="8" width="7.1640625" style="38" bestFit="1" customWidth="1"/>
    <col min="9" max="9" width="24.6640625" style="38" customWidth="1"/>
    <col min="10" max="10" width="52.5" style="52" customWidth="1"/>
    <col min="11" max="11" width="8.6640625" style="38" customWidth="1"/>
    <col min="12" max="13" width="7.5" style="38" hidden="1" customWidth="1" outlineLevel="1"/>
    <col min="14" max="14" width="9.5" style="38" hidden="1" customWidth="1" outlineLevel="1"/>
    <col min="15" max="17" width="8" style="38" hidden="1" customWidth="1" outlineLevel="1"/>
    <col min="18" max="18" width="16.83203125" style="53" hidden="1" customWidth="1" outlineLevel="1"/>
    <col min="19" max="19" width="8" style="38" hidden="1" customWidth="1" outlineLevel="1"/>
    <col min="20" max="20" width="12.1640625" style="53" customWidth="1" collapsed="1"/>
    <col min="21" max="21" width="33.1640625" style="52" customWidth="1"/>
    <col min="22" max="22" width="14.5" style="53" customWidth="1"/>
    <col min="23" max="23" width="32.1640625" style="52" customWidth="1"/>
    <col min="24" max="25" width="23.1640625" style="38" hidden="1" customWidth="1" outlineLevel="1"/>
    <col min="26" max="26" width="15.6640625" style="38" hidden="1" customWidth="1" outlineLevel="1"/>
    <col min="27" max="27" width="31.6640625" style="38" hidden="1" customWidth="1" outlineLevel="1"/>
    <col min="28" max="28" width="29.83203125" style="38" customWidth="1" collapsed="1"/>
    <col min="29" max="29" width="9" style="38" customWidth="1"/>
    <col min="30" max="16384" width="9" style="38"/>
  </cols>
  <sheetData>
    <row r="1" spans="4:28" ht="60" customHeight="1">
      <c r="D1" s="31" t="s">
        <v>235</v>
      </c>
      <c r="E1" s="31" t="s">
        <v>236</v>
      </c>
      <c r="F1" s="31" t="s">
        <v>237</v>
      </c>
      <c r="G1" s="31" t="s">
        <v>238</v>
      </c>
      <c r="H1" s="31" t="s">
        <v>239</v>
      </c>
      <c r="I1" s="31" t="s">
        <v>240</v>
      </c>
      <c r="J1" s="31" t="s">
        <v>241</v>
      </c>
      <c r="K1" s="31" t="s">
        <v>242</v>
      </c>
      <c r="L1" s="32" t="s">
        <v>243</v>
      </c>
      <c r="M1" s="31" t="s">
        <v>244</v>
      </c>
      <c r="N1" s="31" t="s">
        <v>245</v>
      </c>
      <c r="O1" s="31" t="s">
        <v>246</v>
      </c>
      <c r="P1" s="31" t="s">
        <v>247</v>
      </c>
      <c r="Q1" s="31" t="s">
        <v>248</v>
      </c>
      <c r="R1" s="33" t="s">
        <v>249</v>
      </c>
      <c r="S1" s="34" t="s">
        <v>250</v>
      </c>
      <c r="T1" s="35" t="s">
        <v>251</v>
      </c>
      <c r="U1" s="31" t="s">
        <v>252</v>
      </c>
      <c r="V1" s="35" t="s">
        <v>253</v>
      </c>
      <c r="W1" s="31" t="s">
        <v>254</v>
      </c>
      <c r="X1" s="36" t="s">
        <v>255</v>
      </c>
      <c r="Y1" s="36" t="s">
        <v>256</v>
      </c>
      <c r="Z1" s="37" t="s">
        <v>257</v>
      </c>
      <c r="AA1" s="37" t="s">
        <v>258</v>
      </c>
      <c r="AB1" s="38" t="s">
        <v>259</v>
      </c>
    </row>
    <row r="2" spans="4:28" ht="33" customHeight="1">
      <c r="D2" s="39" t="s">
        <v>19</v>
      </c>
      <c r="E2" s="39" t="s">
        <v>19</v>
      </c>
      <c r="F2" s="39">
        <v>10</v>
      </c>
      <c r="G2" s="39" t="s">
        <v>260</v>
      </c>
      <c r="H2" s="39">
        <v>10</v>
      </c>
      <c r="I2" s="39" t="s">
        <v>261</v>
      </c>
      <c r="J2" s="40" t="s">
        <v>18</v>
      </c>
      <c r="K2" s="39" t="s">
        <v>262</v>
      </c>
      <c r="L2" s="39" t="s">
        <v>263</v>
      </c>
      <c r="M2" s="39">
        <v>5</v>
      </c>
      <c r="N2" s="39" t="s">
        <v>264</v>
      </c>
      <c r="O2" s="39" t="s">
        <v>265</v>
      </c>
      <c r="P2" s="39" t="s">
        <v>265</v>
      </c>
      <c r="Q2" s="39"/>
      <c r="R2" s="41"/>
      <c r="S2" s="39"/>
      <c r="T2" s="41" t="s">
        <v>266</v>
      </c>
      <c r="U2" s="40" t="s">
        <v>18</v>
      </c>
      <c r="V2" s="41"/>
      <c r="W2" s="40"/>
      <c r="X2" s="42"/>
      <c r="Y2" s="42" t="s">
        <v>267</v>
      </c>
      <c r="Z2" s="43"/>
      <c r="AA2" s="44"/>
      <c r="AB2" s="38" t="str">
        <f>LEFT(I2,10)</f>
        <v>9N00100000</v>
      </c>
    </row>
    <row r="3" spans="4:28" ht="33" customHeight="1">
      <c r="D3" s="39" t="s">
        <v>19</v>
      </c>
      <c r="E3" s="39" t="s">
        <v>19</v>
      </c>
      <c r="F3" s="39">
        <v>10</v>
      </c>
      <c r="G3" s="39" t="s">
        <v>260</v>
      </c>
      <c r="H3" s="39">
        <v>20</v>
      </c>
      <c r="I3" s="39" t="s">
        <v>268</v>
      </c>
      <c r="J3" s="40" t="s">
        <v>23</v>
      </c>
      <c r="K3" s="39" t="s">
        <v>262</v>
      </c>
      <c r="L3" s="39" t="s">
        <v>263</v>
      </c>
      <c r="M3" s="39">
        <v>5</v>
      </c>
      <c r="N3" s="39" t="s">
        <v>264</v>
      </c>
      <c r="O3" s="39" t="s">
        <v>269</v>
      </c>
      <c r="P3" s="39" t="s">
        <v>269</v>
      </c>
      <c r="Q3" s="39"/>
      <c r="R3" s="41"/>
      <c r="S3" s="39"/>
      <c r="T3" s="41" t="s">
        <v>270</v>
      </c>
      <c r="U3" s="40" t="s">
        <v>23</v>
      </c>
      <c r="V3" s="41"/>
      <c r="W3" s="40"/>
      <c r="X3" s="42"/>
      <c r="Y3" s="42" t="s">
        <v>267</v>
      </c>
      <c r="Z3" s="43"/>
      <c r="AA3" s="44"/>
      <c r="AB3" s="38" t="str">
        <f t="shared" ref="AB3:AB66" si="0">LEFT(I3,10)</f>
        <v>9N00600000</v>
      </c>
    </row>
    <row r="4" spans="4:28" ht="33" customHeight="1">
      <c r="D4" s="39" t="s">
        <v>19</v>
      </c>
      <c r="E4" s="39" t="s">
        <v>19</v>
      </c>
      <c r="F4" s="39">
        <v>10</v>
      </c>
      <c r="G4" s="39" t="s">
        <v>260</v>
      </c>
      <c r="H4" s="39">
        <v>30</v>
      </c>
      <c r="I4" s="39" t="s">
        <v>271</v>
      </c>
      <c r="J4" s="40" t="s">
        <v>272</v>
      </c>
      <c r="K4" s="39" t="s">
        <v>262</v>
      </c>
      <c r="L4" s="39" t="s">
        <v>263</v>
      </c>
      <c r="M4" s="39">
        <v>4</v>
      </c>
      <c r="N4" s="39" t="s">
        <v>273</v>
      </c>
      <c r="O4" s="39" t="s">
        <v>274</v>
      </c>
      <c r="P4" s="39" t="s">
        <v>274</v>
      </c>
      <c r="Q4" s="39"/>
      <c r="R4" s="41"/>
      <c r="S4" s="39"/>
      <c r="T4" s="41" t="s">
        <v>275</v>
      </c>
      <c r="U4" s="40" t="s">
        <v>276</v>
      </c>
      <c r="V4" s="41"/>
      <c r="W4" s="40"/>
      <c r="X4" s="42"/>
      <c r="Y4" s="42" t="s">
        <v>267</v>
      </c>
      <c r="Z4" s="43"/>
      <c r="AA4" s="44"/>
      <c r="AB4" s="38" t="str">
        <f t="shared" si="0"/>
        <v>9N01100000</v>
      </c>
    </row>
    <row r="5" spans="4:28" ht="33" customHeight="1">
      <c r="D5" s="39" t="s">
        <v>19</v>
      </c>
      <c r="E5" s="39" t="s">
        <v>19</v>
      </c>
      <c r="F5" s="39">
        <v>10</v>
      </c>
      <c r="G5" s="39" t="s">
        <v>260</v>
      </c>
      <c r="H5" s="39">
        <v>40</v>
      </c>
      <c r="I5" s="39" t="s">
        <v>277</v>
      </c>
      <c r="J5" s="40" t="s">
        <v>278</v>
      </c>
      <c r="K5" s="39" t="s">
        <v>262</v>
      </c>
      <c r="L5" s="39" t="s">
        <v>263</v>
      </c>
      <c r="M5" s="39">
        <v>5</v>
      </c>
      <c r="N5" s="39" t="s">
        <v>264</v>
      </c>
      <c r="O5" s="39" t="s">
        <v>279</v>
      </c>
      <c r="P5" s="39" t="s">
        <v>279</v>
      </c>
      <c r="Q5" s="39"/>
      <c r="R5" s="41"/>
      <c r="S5" s="39"/>
      <c r="T5" s="41" t="s">
        <v>280</v>
      </c>
      <c r="U5" s="40" t="s">
        <v>278</v>
      </c>
      <c r="V5" s="41"/>
      <c r="W5" s="40"/>
      <c r="X5" s="42"/>
      <c r="Y5" s="42" t="s">
        <v>267</v>
      </c>
      <c r="Z5" s="43"/>
      <c r="AA5" s="44"/>
      <c r="AB5" s="38" t="str">
        <f t="shared" si="0"/>
        <v>9N02100000</v>
      </c>
    </row>
    <row r="6" spans="4:28" ht="33" customHeight="1">
      <c r="D6" s="39" t="s">
        <v>19</v>
      </c>
      <c r="E6" s="39" t="s">
        <v>19</v>
      </c>
      <c r="F6" s="39">
        <v>10</v>
      </c>
      <c r="G6" s="39" t="s">
        <v>260</v>
      </c>
      <c r="H6" s="39">
        <v>50</v>
      </c>
      <c r="I6" s="39" t="s">
        <v>281</v>
      </c>
      <c r="J6" s="40" t="s">
        <v>282</v>
      </c>
      <c r="K6" s="39" t="s">
        <v>262</v>
      </c>
      <c r="L6" s="39" t="s">
        <v>263</v>
      </c>
      <c r="M6" s="39">
        <v>5</v>
      </c>
      <c r="N6" s="39" t="s">
        <v>264</v>
      </c>
      <c r="O6" s="39" t="s">
        <v>265</v>
      </c>
      <c r="P6" s="39" t="s">
        <v>265</v>
      </c>
      <c r="Q6" s="39"/>
      <c r="R6" s="41"/>
      <c r="S6" s="39"/>
      <c r="T6" s="41" t="s">
        <v>283</v>
      </c>
      <c r="U6" s="40" t="s">
        <v>26</v>
      </c>
      <c r="V6" s="41" t="s">
        <v>284</v>
      </c>
      <c r="W6" s="40" t="s">
        <v>285</v>
      </c>
      <c r="X6" s="42"/>
      <c r="Y6" s="42" t="s">
        <v>267</v>
      </c>
      <c r="Z6" s="43"/>
      <c r="AA6" s="44"/>
      <c r="AB6" s="38" t="str">
        <f t="shared" si="0"/>
        <v>9N01616010</v>
      </c>
    </row>
    <row r="7" spans="4:28" ht="33" customHeight="1">
      <c r="D7" s="39" t="s">
        <v>19</v>
      </c>
      <c r="E7" s="39" t="s">
        <v>19</v>
      </c>
      <c r="F7" s="39">
        <v>10</v>
      </c>
      <c r="G7" s="39" t="s">
        <v>260</v>
      </c>
      <c r="H7" s="39">
        <v>60</v>
      </c>
      <c r="I7" s="39" t="s">
        <v>286</v>
      </c>
      <c r="J7" s="40" t="s">
        <v>287</v>
      </c>
      <c r="K7" s="39" t="s">
        <v>262</v>
      </c>
      <c r="L7" s="39" t="s">
        <v>263</v>
      </c>
      <c r="M7" s="39">
        <v>5</v>
      </c>
      <c r="N7" s="39" t="s">
        <v>264</v>
      </c>
      <c r="O7" s="39" t="s">
        <v>265</v>
      </c>
      <c r="P7" s="39" t="s">
        <v>265</v>
      </c>
      <c r="Q7" s="39"/>
      <c r="R7" s="41"/>
      <c r="S7" s="39"/>
      <c r="T7" s="41" t="s">
        <v>283</v>
      </c>
      <c r="U7" s="40" t="s">
        <v>26</v>
      </c>
      <c r="V7" s="41" t="s">
        <v>288</v>
      </c>
      <c r="W7" s="40" t="s">
        <v>289</v>
      </c>
      <c r="X7" s="42"/>
      <c r="Y7" s="42" t="s">
        <v>267</v>
      </c>
      <c r="Z7" s="43"/>
      <c r="AA7" s="44"/>
      <c r="AB7" s="38" t="str">
        <f t="shared" si="0"/>
        <v>9N01616020</v>
      </c>
    </row>
    <row r="8" spans="4:28" ht="33" customHeight="1">
      <c r="D8" s="39" t="s">
        <v>19</v>
      </c>
      <c r="E8" s="39" t="s">
        <v>19</v>
      </c>
      <c r="F8" s="39">
        <v>10</v>
      </c>
      <c r="G8" s="39" t="s">
        <v>260</v>
      </c>
      <c r="H8" s="39">
        <v>70</v>
      </c>
      <c r="I8" s="39" t="s">
        <v>290</v>
      </c>
      <c r="J8" s="40" t="s">
        <v>291</v>
      </c>
      <c r="K8" s="39" t="s">
        <v>262</v>
      </c>
      <c r="L8" s="39" t="s">
        <v>263</v>
      </c>
      <c r="M8" s="39">
        <v>5</v>
      </c>
      <c r="N8" s="39" t="s">
        <v>264</v>
      </c>
      <c r="O8" s="39" t="s">
        <v>265</v>
      </c>
      <c r="P8" s="39" t="s">
        <v>265</v>
      </c>
      <c r="Q8" s="39"/>
      <c r="R8" s="41"/>
      <c r="S8" s="39"/>
      <c r="T8" s="41" t="s">
        <v>283</v>
      </c>
      <c r="U8" s="40" t="s">
        <v>26</v>
      </c>
      <c r="V8" s="41" t="s">
        <v>292</v>
      </c>
      <c r="W8" s="40" t="s">
        <v>293</v>
      </c>
      <c r="X8" s="42"/>
      <c r="Y8" s="42" t="s">
        <v>267</v>
      </c>
      <c r="Z8" s="43"/>
      <c r="AA8" s="44" t="s">
        <v>294</v>
      </c>
      <c r="AB8" s="38" t="str">
        <f t="shared" si="0"/>
        <v>9N01616030</v>
      </c>
    </row>
    <row r="9" spans="4:28" ht="33" customHeight="1">
      <c r="D9" s="39"/>
      <c r="E9" s="45"/>
      <c r="F9" s="39">
        <v>10</v>
      </c>
      <c r="G9" s="39" t="s">
        <v>260</v>
      </c>
      <c r="H9" s="39">
        <v>80</v>
      </c>
      <c r="I9" s="39" t="s">
        <v>295</v>
      </c>
      <c r="J9" s="40" t="s">
        <v>296</v>
      </c>
      <c r="K9" s="39" t="s">
        <v>262</v>
      </c>
      <c r="L9" s="39" t="s">
        <v>263</v>
      </c>
      <c r="M9" s="39">
        <v>5</v>
      </c>
      <c r="N9" s="39" t="s">
        <v>264</v>
      </c>
      <c r="O9" s="39" t="s">
        <v>297</v>
      </c>
      <c r="P9" s="39" t="s">
        <v>297</v>
      </c>
      <c r="Q9" s="39"/>
      <c r="R9" s="41"/>
      <c r="S9" s="39"/>
      <c r="T9" s="41" t="s">
        <v>298</v>
      </c>
      <c r="U9" s="40" t="s">
        <v>296</v>
      </c>
      <c r="V9" s="41"/>
      <c r="W9" s="40"/>
      <c r="X9" s="42"/>
      <c r="Y9" s="42" t="s">
        <v>267</v>
      </c>
      <c r="Z9" s="43"/>
      <c r="AA9" s="44"/>
      <c r="AB9" s="38" t="str">
        <f t="shared" si="0"/>
        <v>9N02600000</v>
      </c>
    </row>
    <row r="10" spans="4:28" ht="33" customHeight="1">
      <c r="D10" s="39"/>
      <c r="E10" s="45"/>
      <c r="F10" s="39">
        <v>20</v>
      </c>
      <c r="G10" s="39" t="s">
        <v>299</v>
      </c>
      <c r="H10" s="39">
        <v>90</v>
      </c>
      <c r="I10" s="39" t="s">
        <v>300</v>
      </c>
      <c r="J10" s="40" t="s">
        <v>301</v>
      </c>
      <c r="K10" s="39" t="s">
        <v>302</v>
      </c>
      <c r="L10" s="39" t="s">
        <v>303</v>
      </c>
      <c r="M10" s="39">
        <v>256</v>
      </c>
      <c r="N10" s="39"/>
      <c r="O10" s="39"/>
      <c r="P10" s="39"/>
      <c r="Q10" s="39"/>
      <c r="R10" s="41"/>
      <c r="S10" s="39"/>
      <c r="T10" s="41" t="s">
        <v>304</v>
      </c>
      <c r="U10" s="40" t="s">
        <v>301</v>
      </c>
      <c r="V10" s="41"/>
      <c r="W10" s="40"/>
      <c r="X10" s="42"/>
      <c r="Y10" s="42" t="s">
        <v>267</v>
      </c>
      <c r="Z10" s="43"/>
      <c r="AA10" s="44"/>
      <c r="AB10" s="38" t="str">
        <f t="shared" si="0"/>
        <v>9N05100000</v>
      </c>
    </row>
    <row r="11" spans="4:28" ht="33" customHeight="1">
      <c r="D11" s="39" t="s">
        <v>19</v>
      </c>
      <c r="E11" s="39" t="s">
        <v>19</v>
      </c>
      <c r="F11" s="39">
        <v>20</v>
      </c>
      <c r="G11" s="39" t="s">
        <v>299</v>
      </c>
      <c r="H11" s="39">
        <v>100</v>
      </c>
      <c r="I11" s="39" t="s">
        <v>305</v>
      </c>
      <c r="J11" s="40" t="s">
        <v>306</v>
      </c>
      <c r="K11" s="39" t="s">
        <v>307</v>
      </c>
      <c r="L11" s="39" t="s">
        <v>308</v>
      </c>
      <c r="M11" s="39">
        <v>1</v>
      </c>
      <c r="N11" s="39" t="s">
        <v>309</v>
      </c>
      <c r="O11" s="39"/>
      <c r="P11" s="39"/>
      <c r="Q11" s="39"/>
      <c r="R11" s="41"/>
      <c r="S11" s="39"/>
      <c r="T11" s="41" t="s">
        <v>310</v>
      </c>
      <c r="U11" s="40" t="s">
        <v>306</v>
      </c>
      <c r="V11" s="41"/>
      <c r="W11" s="40"/>
      <c r="X11" s="42" t="s">
        <v>311</v>
      </c>
      <c r="Y11" s="42" t="s">
        <v>267</v>
      </c>
      <c r="Z11" s="43"/>
      <c r="AA11" s="44" t="s">
        <v>312</v>
      </c>
      <c r="AB11" s="38" t="str">
        <f t="shared" si="0"/>
        <v>9N05600000</v>
      </c>
    </row>
    <row r="12" spans="4:28" ht="33" customHeight="1">
      <c r="D12" s="39" t="s">
        <v>19</v>
      </c>
      <c r="E12" s="39" t="s">
        <v>19</v>
      </c>
      <c r="F12" s="39">
        <v>20</v>
      </c>
      <c r="G12" s="39" t="s">
        <v>299</v>
      </c>
      <c r="H12" s="39">
        <v>110</v>
      </c>
      <c r="I12" s="39" t="s">
        <v>313</v>
      </c>
      <c r="J12" s="40" t="s">
        <v>314</v>
      </c>
      <c r="K12" s="39" t="s">
        <v>302</v>
      </c>
      <c r="L12" s="39" t="s">
        <v>303</v>
      </c>
      <c r="M12" s="39">
        <v>256</v>
      </c>
      <c r="N12" s="39"/>
      <c r="O12" s="39"/>
      <c r="P12" s="39"/>
      <c r="Q12" s="39"/>
      <c r="R12" s="41"/>
      <c r="S12" s="39"/>
      <c r="T12" s="41" t="s">
        <v>310</v>
      </c>
      <c r="U12" s="40" t="s">
        <v>306</v>
      </c>
      <c r="V12" s="41"/>
      <c r="W12" s="40"/>
      <c r="X12" s="42"/>
      <c r="Y12" s="42" t="s">
        <v>267</v>
      </c>
      <c r="Z12" s="43"/>
      <c r="AA12" s="44" t="s">
        <v>315</v>
      </c>
      <c r="AB12" s="38" t="str">
        <f t="shared" si="0"/>
        <v>9N05616040</v>
      </c>
    </row>
    <row r="13" spans="4:28" ht="33" customHeight="1">
      <c r="D13" s="39" t="s">
        <v>19</v>
      </c>
      <c r="E13" s="39" t="s">
        <v>19</v>
      </c>
      <c r="F13" s="39">
        <v>20</v>
      </c>
      <c r="G13" s="39" t="s">
        <v>299</v>
      </c>
      <c r="H13" s="39">
        <v>120</v>
      </c>
      <c r="I13" s="39" t="s">
        <v>316</v>
      </c>
      <c r="J13" s="40" t="s">
        <v>317</v>
      </c>
      <c r="K13" s="39" t="s">
        <v>307</v>
      </c>
      <c r="L13" s="39" t="s">
        <v>308</v>
      </c>
      <c r="M13" s="39">
        <v>1</v>
      </c>
      <c r="N13" s="39" t="s">
        <v>309</v>
      </c>
      <c r="O13" s="39"/>
      <c r="P13" s="39"/>
      <c r="Q13" s="39"/>
      <c r="R13" s="41"/>
      <c r="S13" s="39"/>
      <c r="T13" s="41" t="s">
        <v>318</v>
      </c>
      <c r="U13" s="40" t="s">
        <v>317</v>
      </c>
      <c r="V13" s="41"/>
      <c r="W13" s="40"/>
      <c r="X13" s="42" t="s">
        <v>311</v>
      </c>
      <c r="Y13" s="42" t="s">
        <v>267</v>
      </c>
      <c r="Z13" s="43"/>
      <c r="AA13" s="44" t="s">
        <v>312</v>
      </c>
      <c r="AB13" s="38" t="str">
        <f t="shared" si="0"/>
        <v>9N06100000</v>
      </c>
    </row>
    <row r="14" spans="4:28" ht="33" customHeight="1">
      <c r="D14" s="39" t="s">
        <v>19</v>
      </c>
      <c r="E14" s="39" t="s">
        <v>19</v>
      </c>
      <c r="F14" s="39">
        <v>20</v>
      </c>
      <c r="G14" s="39" t="s">
        <v>299</v>
      </c>
      <c r="H14" s="39">
        <v>130</v>
      </c>
      <c r="I14" s="39" t="s">
        <v>319</v>
      </c>
      <c r="J14" s="40" t="s">
        <v>320</v>
      </c>
      <c r="K14" s="39" t="s">
        <v>302</v>
      </c>
      <c r="L14" s="39" t="s">
        <v>303</v>
      </c>
      <c r="M14" s="39">
        <v>256</v>
      </c>
      <c r="N14" s="39"/>
      <c r="O14" s="39"/>
      <c r="P14" s="39"/>
      <c r="Q14" s="39"/>
      <c r="R14" s="41"/>
      <c r="S14" s="39"/>
      <c r="T14" s="41" t="s">
        <v>318</v>
      </c>
      <c r="U14" s="40" t="s">
        <v>317</v>
      </c>
      <c r="V14" s="41"/>
      <c r="W14" s="40"/>
      <c r="X14" s="42"/>
      <c r="Y14" s="42" t="s">
        <v>267</v>
      </c>
      <c r="Z14" s="43"/>
      <c r="AA14" s="44" t="s">
        <v>315</v>
      </c>
      <c r="AB14" s="38" t="str">
        <f t="shared" si="0"/>
        <v>9N06116080</v>
      </c>
    </row>
    <row r="15" spans="4:28" ht="33" customHeight="1">
      <c r="D15" s="39" t="s">
        <v>19</v>
      </c>
      <c r="E15" s="39" t="s">
        <v>19</v>
      </c>
      <c r="F15" s="39">
        <v>20</v>
      </c>
      <c r="G15" s="39" t="s">
        <v>299</v>
      </c>
      <c r="H15" s="39">
        <v>140</v>
      </c>
      <c r="I15" s="39" t="s">
        <v>321</v>
      </c>
      <c r="J15" s="40" t="s">
        <v>322</v>
      </c>
      <c r="K15" s="39" t="s">
        <v>307</v>
      </c>
      <c r="L15" s="39" t="s">
        <v>308</v>
      </c>
      <c r="M15" s="39">
        <v>1</v>
      </c>
      <c r="N15" s="39" t="s">
        <v>309</v>
      </c>
      <c r="O15" s="39"/>
      <c r="P15" s="39"/>
      <c r="Q15" s="39"/>
      <c r="R15" s="41"/>
      <c r="S15" s="39"/>
      <c r="T15" s="41" t="s">
        <v>323</v>
      </c>
      <c r="U15" s="40" t="s">
        <v>322</v>
      </c>
      <c r="V15" s="41"/>
      <c r="W15" s="40"/>
      <c r="X15" s="42" t="s">
        <v>311</v>
      </c>
      <c r="Y15" s="42" t="s">
        <v>267</v>
      </c>
      <c r="Z15" s="43"/>
      <c r="AA15" s="44" t="s">
        <v>312</v>
      </c>
      <c r="AB15" s="38" t="str">
        <f t="shared" si="0"/>
        <v>9N06600000</v>
      </c>
    </row>
    <row r="16" spans="4:28" ht="33" customHeight="1">
      <c r="D16" s="39" t="s">
        <v>19</v>
      </c>
      <c r="E16" s="39" t="s">
        <v>19</v>
      </c>
      <c r="F16" s="39">
        <v>20</v>
      </c>
      <c r="G16" s="39" t="s">
        <v>299</v>
      </c>
      <c r="H16" s="39">
        <v>150</v>
      </c>
      <c r="I16" s="39" t="s">
        <v>324</v>
      </c>
      <c r="J16" s="40" t="s">
        <v>325</v>
      </c>
      <c r="K16" s="39" t="s">
        <v>302</v>
      </c>
      <c r="L16" s="39" t="s">
        <v>303</v>
      </c>
      <c r="M16" s="39">
        <v>256</v>
      </c>
      <c r="N16" s="39"/>
      <c r="O16" s="39"/>
      <c r="P16" s="39"/>
      <c r="Q16" s="39"/>
      <c r="R16" s="41"/>
      <c r="S16" s="39"/>
      <c r="T16" s="41" t="s">
        <v>323</v>
      </c>
      <c r="U16" s="40" t="s">
        <v>322</v>
      </c>
      <c r="V16" s="41"/>
      <c r="W16" s="40"/>
      <c r="X16" s="42"/>
      <c r="Y16" s="42" t="s">
        <v>267</v>
      </c>
      <c r="Z16" s="43"/>
      <c r="AA16" s="44" t="s">
        <v>315</v>
      </c>
      <c r="AB16" s="38" t="str">
        <f t="shared" si="0"/>
        <v>9N06616080</v>
      </c>
    </row>
    <row r="17" spans="4:28" ht="33" customHeight="1">
      <c r="D17" s="39"/>
      <c r="E17" s="45"/>
      <c r="F17" s="39">
        <v>20</v>
      </c>
      <c r="G17" s="39" t="s">
        <v>299</v>
      </c>
      <c r="H17" s="39">
        <v>160</v>
      </c>
      <c r="I17" s="39" t="s">
        <v>326</v>
      </c>
      <c r="J17" s="40" t="s">
        <v>327</v>
      </c>
      <c r="K17" s="39" t="s">
        <v>302</v>
      </c>
      <c r="L17" s="39" t="s">
        <v>303</v>
      </c>
      <c r="M17" s="39">
        <v>256</v>
      </c>
      <c r="N17" s="39"/>
      <c r="O17" s="39"/>
      <c r="P17" s="39"/>
      <c r="Q17" s="39"/>
      <c r="R17" s="41"/>
      <c r="S17" s="39"/>
      <c r="T17" s="41" t="s">
        <v>328</v>
      </c>
      <c r="U17" s="40" t="s">
        <v>329</v>
      </c>
      <c r="V17" s="41"/>
      <c r="W17" s="40"/>
      <c r="X17" s="42"/>
      <c r="Y17" s="42" t="s">
        <v>267</v>
      </c>
      <c r="Z17" s="43"/>
      <c r="AA17" s="44"/>
      <c r="AB17" s="38" t="str">
        <f t="shared" si="0"/>
        <v>9N07100000</v>
      </c>
    </row>
    <row r="18" spans="4:28" ht="33" customHeight="1">
      <c r="D18" s="39"/>
      <c r="E18" s="45"/>
      <c r="F18" s="39">
        <v>20</v>
      </c>
      <c r="G18" s="39" t="s">
        <v>299</v>
      </c>
      <c r="H18" s="39">
        <v>170</v>
      </c>
      <c r="I18" s="39" t="s">
        <v>330</v>
      </c>
      <c r="J18" s="40" t="s">
        <v>331</v>
      </c>
      <c r="K18" s="39" t="s">
        <v>302</v>
      </c>
      <c r="L18" s="39" t="s">
        <v>303</v>
      </c>
      <c r="M18" s="39">
        <v>256</v>
      </c>
      <c r="N18" s="39"/>
      <c r="O18" s="39"/>
      <c r="P18" s="39"/>
      <c r="Q18" s="39"/>
      <c r="R18" s="41"/>
      <c r="S18" s="39"/>
      <c r="T18" s="41" t="s">
        <v>332</v>
      </c>
      <c r="U18" s="40" t="s">
        <v>333</v>
      </c>
      <c r="V18" s="41"/>
      <c r="W18" s="40"/>
      <c r="X18" s="42"/>
      <c r="Y18" s="42" t="s">
        <v>267</v>
      </c>
      <c r="Z18" s="43"/>
      <c r="AA18" s="44"/>
      <c r="AB18" s="38" t="str">
        <f t="shared" si="0"/>
        <v>9N07600000</v>
      </c>
    </row>
    <row r="19" spans="4:28" ht="33" customHeight="1">
      <c r="D19" s="39"/>
      <c r="E19" s="45"/>
      <c r="F19" s="39">
        <v>20</v>
      </c>
      <c r="G19" s="39" t="s">
        <v>299</v>
      </c>
      <c r="H19" s="39">
        <v>180</v>
      </c>
      <c r="I19" s="39" t="s">
        <v>334</v>
      </c>
      <c r="J19" s="40" t="s">
        <v>335</v>
      </c>
      <c r="K19" s="39" t="s">
        <v>302</v>
      </c>
      <c r="L19" s="39" t="s">
        <v>303</v>
      </c>
      <c r="M19" s="39">
        <v>256</v>
      </c>
      <c r="N19" s="39"/>
      <c r="O19" s="39"/>
      <c r="P19" s="39"/>
      <c r="Q19" s="39"/>
      <c r="R19" s="41"/>
      <c r="S19" s="39"/>
      <c r="T19" s="41" t="s">
        <v>336</v>
      </c>
      <c r="U19" s="40" t="s">
        <v>335</v>
      </c>
      <c r="V19" s="41"/>
      <c r="W19" s="40"/>
      <c r="X19" s="42"/>
      <c r="Y19" s="42" t="s">
        <v>267</v>
      </c>
      <c r="Z19" s="43"/>
      <c r="AA19" s="44"/>
      <c r="AB19" s="38" t="str">
        <f t="shared" si="0"/>
        <v>9N08100000</v>
      </c>
    </row>
    <row r="20" spans="4:28" ht="33" customHeight="1">
      <c r="D20" s="39"/>
      <c r="E20" s="45"/>
      <c r="F20" s="39">
        <v>20</v>
      </c>
      <c r="G20" s="39" t="s">
        <v>299</v>
      </c>
      <c r="H20" s="39">
        <v>190</v>
      </c>
      <c r="I20" s="39" t="s">
        <v>337</v>
      </c>
      <c r="J20" s="40" t="s">
        <v>338</v>
      </c>
      <c r="K20" s="39" t="s">
        <v>302</v>
      </c>
      <c r="L20" s="39" t="s">
        <v>303</v>
      </c>
      <c r="M20" s="39">
        <v>256</v>
      </c>
      <c r="N20" s="39"/>
      <c r="O20" s="39"/>
      <c r="P20" s="39"/>
      <c r="Q20" s="39"/>
      <c r="R20" s="41"/>
      <c r="S20" s="39"/>
      <c r="T20" s="41" t="s">
        <v>339</v>
      </c>
      <c r="U20" s="40" t="s">
        <v>340</v>
      </c>
      <c r="V20" s="41"/>
      <c r="W20" s="40"/>
      <c r="X20" s="42"/>
      <c r="Y20" s="42" t="s">
        <v>267</v>
      </c>
      <c r="Z20" s="43"/>
      <c r="AA20" s="44"/>
      <c r="AB20" s="38" t="str">
        <f t="shared" si="0"/>
        <v>9N08600000</v>
      </c>
    </row>
    <row r="21" spans="4:28" ht="33" customHeight="1">
      <c r="D21" s="39"/>
      <c r="E21" s="45"/>
      <c r="F21" s="39">
        <v>20</v>
      </c>
      <c r="G21" s="39" t="s">
        <v>299</v>
      </c>
      <c r="H21" s="39">
        <v>200</v>
      </c>
      <c r="I21" s="39" t="s">
        <v>341</v>
      </c>
      <c r="J21" s="40" t="s">
        <v>342</v>
      </c>
      <c r="K21" s="39" t="s">
        <v>262</v>
      </c>
      <c r="L21" s="39" t="s">
        <v>263</v>
      </c>
      <c r="M21" s="39">
        <v>1</v>
      </c>
      <c r="N21" s="39" t="s">
        <v>309</v>
      </c>
      <c r="O21" s="39" t="s">
        <v>343</v>
      </c>
      <c r="P21" s="39" t="s">
        <v>344</v>
      </c>
      <c r="Q21" s="39"/>
      <c r="R21" s="41"/>
      <c r="S21" s="39"/>
      <c r="T21" s="41" t="s">
        <v>345</v>
      </c>
      <c r="U21" s="40" t="s">
        <v>342</v>
      </c>
      <c r="V21" s="41"/>
      <c r="W21" s="40"/>
      <c r="X21" s="42"/>
      <c r="Y21" s="42" t="s">
        <v>267</v>
      </c>
      <c r="Z21" s="43"/>
      <c r="AA21" s="44"/>
      <c r="AB21" s="38" t="str">
        <f t="shared" si="0"/>
        <v>9N09100000</v>
      </c>
    </row>
    <row r="22" spans="4:28" ht="33" customHeight="1">
      <c r="D22" s="39" t="s">
        <v>19</v>
      </c>
      <c r="E22" s="39" t="s">
        <v>19</v>
      </c>
      <c r="F22" s="39">
        <v>30</v>
      </c>
      <c r="G22" s="39" t="s">
        <v>346</v>
      </c>
      <c r="H22" s="39">
        <v>210</v>
      </c>
      <c r="I22" s="39" t="s">
        <v>347</v>
      </c>
      <c r="J22" s="40" t="s">
        <v>348</v>
      </c>
      <c r="K22" s="39" t="s">
        <v>262</v>
      </c>
      <c r="L22" s="39" t="s">
        <v>263</v>
      </c>
      <c r="M22" s="39">
        <v>3</v>
      </c>
      <c r="N22" s="39" t="s">
        <v>349</v>
      </c>
      <c r="O22" s="39" t="s">
        <v>350</v>
      </c>
      <c r="P22" s="39" t="s">
        <v>351</v>
      </c>
      <c r="Q22" s="39"/>
      <c r="R22" s="41"/>
      <c r="S22" s="39"/>
      <c r="T22" s="41" t="s">
        <v>352</v>
      </c>
      <c r="U22" s="40" t="s">
        <v>353</v>
      </c>
      <c r="V22" s="41" t="s">
        <v>354</v>
      </c>
      <c r="W22" s="40" t="s">
        <v>355</v>
      </c>
      <c r="X22" s="42"/>
      <c r="Y22" s="42" t="s">
        <v>267</v>
      </c>
      <c r="Z22" s="43"/>
      <c r="AA22" s="44" t="s">
        <v>356</v>
      </c>
      <c r="AB22" s="38" t="str">
        <f t="shared" si="0"/>
        <v>9A75500000</v>
      </c>
    </row>
    <row r="23" spans="4:28" ht="33" customHeight="1">
      <c r="D23" s="39" t="s">
        <v>19</v>
      </c>
      <c r="E23" s="39" t="s">
        <v>19</v>
      </c>
      <c r="F23" s="39">
        <v>30</v>
      </c>
      <c r="G23" s="39" t="s">
        <v>346</v>
      </c>
      <c r="H23" s="39">
        <v>220</v>
      </c>
      <c r="I23" s="39" t="s">
        <v>357</v>
      </c>
      <c r="J23" s="40" t="s">
        <v>358</v>
      </c>
      <c r="K23" s="39" t="s">
        <v>262</v>
      </c>
      <c r="L23" s="39" t="s">
        <v>263</v>
      </c>
      <c r="M23" s="39">
        <v>3</v>
      </c>
      <c r="N23" s="39" t="s">
        <v>349</v>
      </c>
      <c r="O23" s="39" t="s">
        <v>350</v>
      </c>
      <c r="P23" s="39" t="s">
        <v>351</v>
      </c>
      <c r="Q23" s="39"/>
      <c r="R23" s="41"/>
      <c r="S23" s="39"/>
      <c r="T23" s="41" t="s">
        <v>352</v>
      </c>
      <c r="U23" s="40" t="s">
        <v>353</v>
      </c>
      <c r="V23" s="41" t="s">
        <v>359</v>
      </c>
      <c r="W23" s="40" t="s">
        <v>360</v>
      </c>
      <c r="X23" s="42"/>
      <c r="Y23" s="42" t="s">
        <v>267</v>
      </c>
      <c r="Z23" s="43"/>
      <c r="AA23" s="44"/>
      <c r="AB23" s="38" t="str">
        <f t="shared" si="0"/>
        <v>9A75200000</v>
      </c>
    </row>
    <row r="24" spans="4:28" ht="33" customHeight="1">
      <c r="D24" s="39" t="s">
        <v>19</v>
      </c>
      <c r="E24" s="39" t="s">
        <v>19</v>
      </c>
      <c r="F24" s="39">
        <v>30</v>
      </c>
      <c r="G24" s="39" t="s">
        <v>346</v>
      </c>
      <c r="H24" s="39">
        <v>230</v>
      </c>
      <c r="I24" s="39" t="s">
        <v>361</v>
      </c>
      <c r="J24" s="40" t="s">
        <v>362</v>
      </c>
      <c r="K24" s="39" t="s">
        <v>262</v>
      </c>
      <c r="L24" s="39" t="s">
        <v>263</v>
      </c>
      <c r="M24" s="39">
        <v>3</v>
      </c>
      <c r="N24" s="39" t="s">
        <v>349</v>
      </c>
      <c r="O24" s="39" t="s">
        <v>350</v>
      </c>
      <c r="P24" s="39" t="s">
        <v>351</v>
      </c>
      <c r="Q24" s="39"/>
      <c r="R24" s="41"/>
      <c r="S24" s="39"/>
      <c r="T24" s="41" t="s">
        <v>352</v>
      </c>
      <c r="U24" s="40" t="s">
        <v>353</v>
      </c>
      <c r="V24" s="41" t="s">
        <v>363</v>
      </c>
      <c r="W24" s="40" t="s">
        <v>364</v>
      </c>
      <c r="X24" s="42"/>
      <c r="Y24" s="42" t="s">
        <v>267</v>
      </c>
      <c r="Z24" s="43"/>
      <c r="AA24" s="44"/>
      <c r="AB24" s="38" t="str">
        <f t="shared" si="0"/>
        <v>9A75100000</v>
      </c>
    </row>
    <row r="25" spans="4:28" ht="33" customHeight="1">
      <c r="D25" s="39" t="s">
        <v>19</v>
      </c>
      <c r="E25" s="39" t="s">
        <v>19</v>
      </c>
      <c r="F25" s="39">
        <v>30</v>
      </c>
      <c r="G25" s="39" t="s">
        <v>346</v>
      </c>
      <c r="H25" s="39">
        <v>240</v>
      </c>
      <c r="I25" s="39" t="s">
        <v>365</v>
      </c>
      <c r="J25" s="40" t="s">
        <v>366</v>
      </c>
      <c r="K25" s="39" t="s">
        <v>262</v>
      </c>
      <c r="L25" s="39" t="s">
        <v>263</v>
      </c>
      <c r="M25" s="39">
        <v>3</v>
      </c>
      <c r="N25" s="39" t="s">
        <v>349</v>
      </c>
      <c r="O25" s="39" t="s">
        <v>350</v>
      </c>
      <c r="P25" s="39" t="s">
        <v>351</v>
      </c>
      <c r="Q25" s="39"/>
      <c r="R25" s="41"/>
      <c r="S25" s="39"/>
      <c r="T25" s="41" t="s">
        <v>367</v>
      </c>
      <c r="U25" s="40" t="s">
        <v>368</v>
      </c>
      <c r="V25" s="41" t="s">
        <v>369</v>
      </c>
      <c r="W25" s="40" t="s">
        <v>355</v>
      </c>
      <c r="X25" s="42"/>
      <c r="Y25" s="42" t="s">
        <v>267</v>
      </c>
      <c r="Z25" s="43"/>
      <c r="AA25" s="44" t="s">
        <v>356</v>
      </c>
      <c r="AB25" s="38" t="str">
        <f t="shared" si="0"/>
        <v>9A76500000</v>
      </c>
    </row>
    <row r="26" spans="4:28" ht="33" customHeight="1">
      <c r="D26" s="39" t="s">
        <v>19</v>
      </c>
      <c r="E26" s="39" t="s">
        <v>19</v>
      </c>
      <c r="F26" s="39">
        <v>30</v>
      </c>
      <c r="G26" s="39" t="s">
        <v>346</v>
      </c>
      <c r="H26" s="39">
        <v>250</v>
      </c>
      <c r="I26" s="39" t="s">
        <v>370</v>
      </c>
      <c r="J26" s="40" t="s">
        <v>371</v>
      </c>
      <c r="K26" s="39" t="s">
        <v>262</v>
      </c>
      <c r="L26" s="39" t="s">
        <v>263</v>
      </c>
      <c r="M26" s="39">
        <v>3</v>
      </c>
      <c r="N26" s="39" t="s">
        <v>349</v>
      </c>
      <c r="O26" s="39" t="s">
        <v>350</v>
      </c>
      <c r="P26" s="39" t="s">
        <v>351</v>
      </c>
      <c r="Q26" s="39"/>
      <c r="R26" s="41"/>
      <c r="S26" s="39"/>
      <c r="T26" s="41" t="s">
        <v>367</v>
      </c>
      <c r="U26" s="40" t="s">
        <v>368</v>
      </c>
      <c r="V26" s="41" t="s">
        <v>372</v>
      </c>
      <c r="W26" s="40" t="s">
        <v>360</v>
      </c>
      <c r="X26" s="42"/>
      <c r="Y26" s="42" t="s">
        <v>267</v>
      </c>
      <c r="Z26" s="43"/>
      <c r="AA26" s="44"/>
      <c r="AB26" s="38" t="str">
        <f t="shared" si="0"/>
        <v>9A76200000</v>
      </c>
    </row>
    <row r="27" spans="4:28" ht="33" customHeight="1">
      <c r="D27" s="39" t="s">
        <v>19</v>
      </c>
      <c r="E27" s="39" t="s">
        <v>19</v>
      </c>
      <c r="F27" s="39">
        <v>30</v>
      </c>
      <c r="G27" s="39" t="s">
        <v>346</v>
      </c>
      <c r="H27" s="39">
        <v>260</v>
      </c>
      <c r="I27" s="39" t="s">
        <v>373</v>
      </c>
      <c r="J27" s="40" t="s">
        <v>374</v>
      </c>
      <c r="K27" s="39" t="s">
        <v>262</v>
      </c>
      <c r="L27" s="39" t="s">
        <v>263</v>
      </c>
      <c r="M27" s="39">
        <v>3</v>
      </c>
      <c r="N27" s="39" t="s">
        <v>349</v>
      </c>
      <c r="O27" s="39" t="s">
        <v>350</v>
      </c>
      <c r="P27" s="39" t="s">
        <v>351</v>
      </c>
      <c r="Q27" s="39"/>
      <c r="R27" s="41"/>
      <c r="S27" s="39"/>
      <c r="T27" s="41" t="s">
        <v>367</v>
      </c>
      <c r="U27" s="40" t="s">
        <v>368</v>
      </c>
      <c r="V27" s="41" t="s">
        <v>375</v>
      </c>
      <c r="W27" s="40" t="s">
        <v>364</v>
      </c>
      <c r="X27" s="42"/>
      <c r="Y27" s="42" t="s">
        <v>267</v>
      </c>
      <c r="Z27" s="43"/>
      <c r="AA27" s="44"/>
      <c r="AB27" s="38" t="str">
        <f t="shared" si="0"/>
        <v>9A76100000</v>
      </c>
    </row>
    <row r="28" spans="4:28" ht="33" customHeight="1">
      <c r="D28" s="39"/>
      <c r="E28" s="45"/>
      <c r="F28" s="39">
        <v>30</v>
      </c>
      <c r="G28" s="39" t="s">
        <v>346</v>
      </c>
      <c r="H28" s="39">
        <v>270</v>
      </c>
      <c r="I28" s="39" t="s">
        <v>376</v>
      </c>
      <c r="J28" s="40" t="s">
        <v>377</v>
      </c>
      <c r="K28" s="39" t="s">
        <v>262</v>
      </c>
      <c r="L28" s="39" t="s">
        <v>263</v>
      </c>
      <c r="M28" s="39">
        <v>3</v>
      </c>
      <c r="N28" s="39" t="s">
        <v>349</v>
      </c>
      <c r="O28" s="39" t="s">
        <v>378</v>
      </c>
      <c r="P28" s="39" t="s">
        <v>379</v>
      </c>
      <c r="Q28" s="39"/>
      <c r="R28" s="41"/>
      <c r="S28" s="39"/>
      <c r="T28" s="41" t="s">
        <v>380</v>
      </c>
      <c r="U28" s="40" t="s">
        <v>377</v>
      </c>
      <c r="V28" s="41"/>
      <c r="W28" s="40"/>
      <c r="X28" s="42"/>
      <c r="Y28" s="42" t="s">
        <v>267</v>
      </c>
      <c r="Z28" s="43"/>
      <c r="AA28" s="44"/>
      <c r="AB28" s="38" t="str">
        <f t="shared" si="0"/>
        <v>9N12100000</v>
      </c>
    </row>
    <row r="29" spans="4:28" ht="56.25" customHeight="1">
      <c r="D29" s="39" t="s">
        <v>19</v>
      </c>
      <c r="E29" s="39" t="s">
        <v>19</v>
      </c>
      <c r="F29" s="39">
        <v>40</v>
      </c>
      <c r="G29" s="39" t="s">
        <v>381</v>
      </c>
      <c r="H29" s="39">
        <v>280</v>
      </c>
      <c r="I29" s="39" t="s">
        <v>382</v>
      </c>
      <c r="J29" s="40" t="s">
        <v>383</v>
      </c>
      <c r="K29" s="39" t="s">
        <v>307</v>
      </c>
      <c r="L29" s="39" t="s">
        <v>308</v>
      </c>
      <c r="M29" s="39">
        <v>1</v>
      </c>
      <c r="N29" s="39" t="s">
        <v>309</v>
      </c>
      <c r="O29" s="39"/>
      <c r="P29" s="39"/>
      <c r="Q29" s="39"/>
      <c r="R29" s="41"/>
      <c r="S29" s="39"/>
      <c r="T29" s="41" t="s">
        <v>384</v>
      </c>
      <c r="U29" s="40" t="s">
        <v>385</v>
      </c>
      <c r="V29" s="41"/>
      <c r="W29" s="40"/>
      <c r="X29" s="42" t="s">
        <v>386</v>
      </c>
      <c r="Y29" s="42" t="s">
        <v>267</v>
      </c>
      <c r="Z29" s="43"/>
      <c r="AA29" s="44" t="s">
        <v>387</v>
      </c>
      <c r="AB29" s="38" t="str">
        <f t="shared" si="0"/>
        <v>9N14100000</v>
      </c>
    </row>
    <row r="30" spans="4:28" ht="33" customHeight="1">
      <c r="D30" s="39"/>
      <c r="E30" s="45"/>
      <c r="F30" s="39">
        <v>50</v>
      </c>
      <c r="G30" s="39" t="s">
        <v>388</v>
      </c>
      <c r="H30" s="39">
        <v>290</v>
      </c>
      <c r="I30" s="39" t="s">
        <v>389</v>
      </c>
      <c r="J30" s="40" t="s">
        <v>390</v>
      </c>
      <c r="K30" s="39" t="s">
        <v>262</v>
      </c>
      <c r="L30" s="39" t="s">
        <v>263</v>
      </c>
      <c r="M30" s="39">
        <v>5</v>
      </c>
      <c r="N30" s="39" t="s">
        <v>391</v>
      </c>
      <c r="O30" s="39" t="s">
        <v>392</v>
      </c>
      <c r="P30" s="39" t="s">
        <v>393</v>
      </c>
      <c r="Q30" s="39"/>
      <c r="R30" s="41"/>
      <c r="S30" s="39"/>
      <c r="T30" s="41" t="s">
        <v>394</v>
      </c>
      <c r="U30" s="40" t="s">
        <v>390</v>
      </c>
      <c r="V30" s="41" t="s">
        <v>395</v>
      </c>
      <c r="W30" s="40" t="s">
        <v>396</v>
      </c>
      <c r="X30" s="42"/>
      <c r="Y30" s="42" t="s">
        <v>267</v>
      </c>
      <c r="Z30" s="43"/>
      <c r="AA30" s="44"/>
      <c r="AB30" s="38" t="str">
        <f t="shared" si="0"/>
        <v>3F05000000</v>
      </c>
    </row>
    <row r="31" spans="4:28" ht="33" customHeight="1">
      <c r="D31" s="39"/>
      <c r="E31" s="45"/>
      <c r="F31" s="39">
        <v>50</v>
      </c>
      <c r="G31" s="39" t="s">
        <v>388</v>
      </c>
      <c r="H31" s="39">
        <v>300</v>
      </c>
      <c r="I31" s="39" t="s">
        <v>397</v>
      </c>
      <c r="J31" s="40" t="s">
        <v>390</v>
      </c>
      <c r="K31" s="39" t="s">
        <v>262</v>
      </c>
      <c r="L31" s="39" t="s">
        <v>263</v>
      </c>
      <c r="M31" s="39">
        <v>5</v>
      </c>
      <c r="N31" s="39" t="s">
        <v>391</v>
      </c>
      <c r="O31" s="39" t="s">
        <v>392</v>
      </c>
      <c r="P31" s="39" t="s">
        <v>393</v>
      </c>
      <c r="Q31" s="39"/>
      <c r="R31" s="41"/>
      <c r="S31" s="39"/>
      <c r="T31" s="41" t="s">
        <v>394</v>
      </c>
      <c r="U31" s="40" t="s">
        <v>390</v>
      </c>
      <c r="V31" s="41" t="s">
        <v>398</v>
      </c>
      <c r="W31" s="40" t="s">
        <v>399</v>
      </c>
      <c r="X31" s="42"/>
      <c r="Y31" s="42" t="s">
        <v>267</v>
      </c>
      <c r="Z31" s="43"/>
      <c r="AA31" s="44"/>
      <c r="AB31" s="38" t="str">
        <f t="shared" si="0"/>
        <v>3F05000000</v>
      </c>
    </row>
    <row r="32" spans="4:28" ht="33" customHeight="1">
      <c r="D32" s="39"/>
      <c r="E32" s="45"/>
      <c r="F32" s="39">
        <v>50</v>
      </c>
      <c r="G32" s="39" t="s">
        <v>388</v>
      </c>
      <c r="H32" s="39">
        <v>310</v>
      </c>
      <c r="I32" s="39" t="s">
        <v>400</v>
      </c>
      <c r="J32" s="40" t="s">
        <v>390</v>
      </c>
      <c r="K32" s="39" t="s">
        <v>262</v>
      </c>
      <c r="L32" s="39" t="s">
        <v>263</v>
      </c>
      <c r="M32" s="39">
        <v>5</v>
      </c>
      <c r="N32" s="39" t="s">
        <v>391</v>
      </c>
      <c r="O32" s="39" t="s">
        <v>392</v>
      </c>
      <c r="P32" s="39" t="s">
        <v>393</v>
      </c>
      <c r="Q32" s="39"/>
      <c r="R32" s="41"/>
      <c r="S32" s="39"/>
      <c r="T32" s="41" t="s">
        <v>394</v>
      </c>
      <c r="U32" s="40" t="s">
        <v>390</v>
      </c>
      <c r="V32" s="41" t="s">
        <v>401</v>
      </c>
      <c r="W32" s="40" t="s">
        <v>355</v>
      </c>
      <c r="X32" s="42"/>
      <c r="Y32" s="42" t="s">
        <v>267</v>
      </c>
      <c r="Z32" s="43"/>
      <c r="AA32" s="44"/>
      <c r="AB32" s="38" t="str">
        <f t="shared" si="0"/>
        <v>3F05000000</v>
      </c>
    </row>
    <row r="33" spans="4:28" s="47" customFormat="1" ht="42" customHeight="1">
      <c r="D33" s="46" t="s">
        <v>11</v>
      </c>
      <c r="E33" s="46" t="s">
        <v>11</v>
      </c>
      <c r="F33" s="39">
        <v>50</v>
      </c>
      <c r="G33" s="39" t="s">
        <v>388</v>
      </c>
      <c r="H33" s="39">
        <v>320</v>
      </c>
      <c r="I33" s="39" t="s">
        <v>402</v>
      </c>
      <c r="J33" s="40" t="s">
        <v>403</v>
      </c>
      <c r="K33" s="39" t="s">
        <v>262</v>
      </c>
      <c r="L33" s="39" t="s">
        <v>263</v>
      </c>
      <c r="M33" s="39">
        <v>5</v>
      </c>
      <c r="N33" s="39" t="s">
        <v>391</v>
      </c>
      <c r="O33" s="39" t="s">
        <v>392</v>
      </c>
      <c r="P33" s="39" t="s">
        <v>393</v>
      </c>
      <c r="Q33" s="39"/>
      <c r="R33" s="41"/>
      <c r="S33" s="39"/>
      <c r="T33" s="41" t="s">
        <v>404</v>
      </c>
      <c r="U33" s="40" t="s">
        <v>405</v>
      </c>
      <c r="V33" s="41" t="s">
        <v>406</v>
      </c>
      <c r="W33" s="40" t="s">
        <v>407</v>
      </c>
      <c r="X33" s="42"/>
      <c r="Y33" s="42" t="s">
        <v>267</v>
      </c>
      <c r="Z33" s="43" t="s">
        <v>408</v>
      </c>
      <c r="AA33" s="62" t="s">
        <v>409</v>
      </c>
      <c r="AB33" s="38" t="str">
        <f t="shared" si="0"/>
        <v>3F01500000</v>
      </c>
    </row>
    <row r="34" spans="4:28" s="47" customFormat="1" ht="42" customHeight="1">
      <c r="D34" s="46" t="s">
        <v>11</v>
      </c>
      <c r="E34" s="46" t="s">
        <v>11</v>
      </c>
      <c r="F34" s="39">
        <v>50</v>
      </c>
      <c r="G34" s="39" t="s">
        <v>388</v>
      </c>
      <c r="H34" s="39">
        <v>330</v>
      </c>
      <c r="I34" s="39" t="s">
        <v>410</v>
      </c>
      <c r="J34" s="40" t="s">
        <v>403</v>
      </c>
      <c r="K34" s="39" t="s">
        <v>262</v>
      </c>
      <c r="L34" s="39" t="s">
        <v>263</v>
      </c>
      <c r="M34" s="39">
        <v>5</v>
      </c>
      <c r="N34" s="39" t="s">
        <v>391</v>
      </c>
      <c r="O34" s="39" t="s">
        <v>392</v>
      </c>
      <c r="P34" s="39" t="s">
        <v>393</v>
      </c>
      <c r="Q34" s="39"/>
      <c r="R34" s="41"/>
      <c r="S34" s="39"/>
      <c r="T34" s="41" t="s">
        <v>404</v>
      </c>
      <c r="U34" s="40" t="s">
        <v>405</v>
      </c>
      <c r="V34" s="41" t="s">
        <v>411</v>
      </c>
      <c r="W34" s="40" t="s">
        <v>412</v>
      </c>
      <c r="X34" s="42"/>
      <c r="Y34" s="42" t="s">
        <v>267</v>
      </c>
      <c r="Z34" s="43" t="s">
        <v>408</v>
      </c>
      <c r="AA34" s="64"/>
      <c r="AB34" s="38" t="str">
        <f t="shared" si="0"/>
        <v>3F01500000</v>
      </c>
    </row>
    <row r="35" spans="4:28" s="47" customFormat="1" ht="42" customHeight="1">
      <c r="D35" s="46" t="s">
        <v>11</v>
      </c>
      <c r="E35" s="46" t="s">
        <v>11</v>
      </c>
      <c r="F35" s="39">
        <v>50</v>
      </c>
      <c r="G35" s="39" t="s">
        <v>388</v>
      </c>
      <c r="H35" s="39">
        <v>340</v>
      </c>
      <c r="I35" s="39" t="s">
        <v>413</v>
      </c>
      <c r="J35" s="40" t="s">
        <v>403</v>
      </c>
      <c r="K35" s="39" t="s">
        <v>262</v>
      </c>
      <c r="L35" s="39" t="s">
        <v>263</v>
      </c>
      <c r="M35" s="39">
        <v>5</v>
      </c>
      <c r="N35" s="39" t="s">
        <v>391</v>
      </c>
      <c r="O35" s="39" t="s">
        <v>392</v>
      </c>
      <c r="P35" s="39" t="s">
        <v>393</v>
      </c>
      <c r="Q35" s="39"/>
      <c r="R35" s="41"/>
      <c r="S35" s="39"/>
      <c r="T35" s="41" t="s">
        <v>404</v>
      </c>
      <c r="U35" s="40" t="s">
        <v>405</v>
      </c>
      <c r="V35" s="41" t="s">
        <v>414</v>
      </c>
      <c r="W35" s="40" t="s">
        <v>355</v>
      </c>
      <c r="X35" s="42"/>
      <c r="Y35" s="42" t="s">
        <v>267</v>
      </c>
      <c r="Z35" s="43" t="s">
        <v>408</v>
      </c>
      <c r="AA35" s="63"/>
      <c r="AB35" s="38" t="str">
        <f t="shared" si="0"/>
        <v>3F01500000</v>
      </c>
    </row>
    <row r="36" spans="4:28" ht="42" customHeight="1">
      <c r="D36" s="46" t="s">
        <v>11</v>
      </c>
      <c r="E36" s="46" t="s">
        <v>11</v>
      </c>
      <c r="F36" s="39">
        <v>50</v>
      </c>
      <c r="G36" s="39" t="s">
        <v>388</v>
      </c>
      <c r="H36" s="39">
        <v>342</v>
      </c>
      <c r="I36" s="39" t="s">
        <v>415</v>
      </c>
      <c r="J36" s="40" t="s">
        <v>416</v>
      </c>
      <c r="K36" s="39" t="s">
        <v>262</v>
      </c>
      <c r="L36" s="39" t="s">
        <v>263</v>
      </c>
      <c r="M36" s="39">
        <v>5</v>
      </c>
      <c r="N36" s="39" t="s">
        <v>391</v>
      </c>
      <c r="O36" s="39" t="s">
        <v>392</v>
      </c>
      <c r="P36" s="39" t="s">
        <v>393</v>
      </c>
      <c r="Q36" s="39"/>
      <c r="R36" s="41"/>
      <c r="S36" s="39"/>
      <c r="T36" s="41" t="s">
        <v>404</v>
      </c>
      <c r="U36" s="40" t="s">
        <v>405</v>
      </c>
      <c r="V36" s="41" t="s">
        <v>406</v>
      </c>
      <c r="W36" s="40" t="s">
        <v>407</v>
      </c>
      <c r="X36" s="42"/>
      <c r="Y36" s="42" t="s">
        <v>267</v>
      </c>
      <c r="Z36" s="43" t="s">
        <v>417</v>
      </c>
      <c r="AA36" s="62" t="s">
        <v>418</v>
      </c>
      <c r="AB36" s="38" t="str">
        <f t="shared" si="0"/>
        <v>3F01512990</v>
      </c>
    </row>
    <row r="37" spans="4:28" ht="42" customHeight="1">
      <c r="D37" s="46" t="s">
        <v>11</v>
      </c>
      <c r="E37" s="46" t="s">
        <v>11</v>
      </c>
      <c r="F37" s="39">
        <v>50</v>
      </c>
      <c r="G37" s="39" t="s">
        <v>388</v>
      </c>
      <c r="H37" s="39">
        <v>344</v>
      </c>
      <c r="I37" s="39" t="s">
        <v>419</v>
      </c>
      <c r="J37" s="40" t="s">
        <v>416</v>
      </c>
      <c r="K37" s="39" t="s">
        <v>262</v>
      </c>
      <c r="L37" s="39" t="s">
        <v>263</v>
      </c>
      <c r="M37" s="39">
        <v>5</v>
      </c>
      <c r="N37" s="39" t="s">
        <v>391</v>
      </c>
      <c r="O37" s="39" t="s">
        <v>392</v>
      </c>
      <c r="P37" s="39" t="s">
        <v>393</v>
      </c>
      <c r="Q37" s="39"/>
      <c r="R37" s="41"/>
      <c r="S37" s="39"/>
      <c r="T37" s="41" t="s">
        <v>404</v>
      </c>
      <c r="U37" s="40" t="s">
        <v>405</v>
      </c>
      <c r="V37" s="41" t="s">
        <v>411</v>
      </c>
      <c r="W37" s="40" t="s">
        <v>412</v>
      </c>
      <c r="X37" s="42"/>
      <c r="Y37" s="42" t="s">
        <v>267</v>
      </c>
      <c r="Z37" s="43" t="s">
        <v>417</v>
      </c>
      <c r="AA37" s="64"/>
      <c r="AB37" s="38" t="str">
        <f t="shared" si="0"/>
        <v>3F01512990</v>
      </c>
    </row>
    <row r="38" spans="4:28" ht="42" customHeight="1">
      <c r="D38" s="46" t="s">
        <v>11</v>
      </c>
      <c r="E38" s="46" t="s">
        <v>11</v>
      </c>
      <c r="F38" s="39">
        <v>50</v>
      </c>
      <c r="G38" s="39" t="s">
        <v>388</v>
      </c>
      <c r="H38" s="39">
        <v>346</v>
      </c>
      <c r="I38" s="39" t="s">
        <v>420</v>
      </c>
      <c r="J38" s="40" t="s">
        <v>416</v>
      </c>
      <c r="K38" s="39" t="s">
        <v>262</v>
      </c>
      <c r="L38" s="39" t="s">
        <v>263</v>
      </c>
      <c r="M38" s="39">
        <v>5</v>
      </c>
      <c r="N38" s="39" t="s">
        <v>391</v>
      </c>
      <c r="O38" s="39" t="s">
        <v>392</v>
      </c>
      <c r="P38" s="39" t="s">
        <v>393</v>
      </c>
      <c r="Q38" s="39"/>
      <c r="R38" s="41"/>
      <c r="S38" s="39"/>
      <c r="T38" s="41" t="s">
        <v>404</v>
      </c>
      <c r="U38" s="40" t="s">
        <v>405</v>
      </c>
      <c r="V38" s="41" t="s">
        <v>414</v>
      </c>
      <c r="W38" s="40" t="s">
        <v>355</v>
      </c>
      <c r="X38" s="42"/>
      <c r="Y38" s="42" t="s">
        <v>267</v>
      </c>
      <c r="Z38" s="43" t="s">
        <v>417</v>
      </c>
      <c r="AA38" s="63"/>
      <c r="AB38" s="38" t="str">
        <f t="shared" si="0"/>
        <v>3F01512990</v>
      </c>
    </row>
    <row r="39" spans="4:28" ht="33" customHeight="1">
      <c r="D39" s="39" t="s">
        <v>19</v>
      </c>
      <c r="E39" s="39" t="s">
        <v>19</v>
      </c>
      <c r="F39" s="39">
        <v>50</v>
      </c>
      <c r="G39" s="39" t="s">
        <v>388</v>
      </c>
      <c r="H39" s="39">
        <v>350</v>
      </c>
      <c r="I39" s="39" t="s">
        <v>421</v>
      </c>
      <c r="J39" s="40" t="s">
        <v>422</v>
      </c>
      <c r="K39" s="39" t="s">
        <v>262</v>
      </c>
      <c r="L39" s="39" t="s">
        <v>263</v>
      </c>
      <c r="M39" s="39">
        <v>5</v>
      </c>
      <c r="N39" s="39" t="s">
        <v>391</v>
      </c>
      <c r="O39" s="39" t="s">
        <v>392</v>
      </c>
      <c r="P39" s="39" t="s">
        <v>393</v>
      </c>
      <c r="Q39" s="39"/>
      <c r="R39" s="41"/>
      <c r="S39" s="39"/>
      <c r="T39" s="41" t="s">
        <v>423</v>
      </c>
      <c r="U39" s="40" t="s">
        <v>424</v>
      </c>
      <c r="V39" s="41" t="s">
        <v>425</v>
      </c>
      <c r="W39" s="40" t="s">
        <v>426</v>
      </c>
      <c r="X39" s="42"/>
      <c r="Y39" s="42" t="s">
        <v>267</v>
      </c>
      <c r="Z39" s="43"/>
      <c r="AA39" s="44"/>
      <c r="AB39" s="38" t="str">
        <f t="shared" si="0"/>
        <v>3F07000000</v>
      </c>
    </row>
    <row r="40" spans="4:28" ht="33" customHeight="1">
      <c r="D40" s="39" t="s">
        <v>19</v>
      </c>
      <c r="E40" s="39" t="s">
        <v>19</v>
      </c>
      <c r="F40" s="39">
        <v>50</v>
      </c>
      <c r="G40" s="39" t="s">
        <v>388</v>
      </c>
      <c r="H40" s="39">
        <v>360</v>
      </c>
      <c r="I40" s="39" t="s">
        <v>427</v>
      </c>
      <c r="J40" s="40" t="s">
        <v>422</v>
      </c>
      <c r="K40" s="39" t="s">
        <v>262</v>
      </c>
      <c r="L40" s="39" t="s">
        <v>263</v>
      </c>
      <c r="M40" s="39">
        <v>5</v>
      </c>
      <c r="N40" s="39" t="s">
        <v>391</v>
      </c>
      <c r="O40" s="39" t="s">
        <v>392</v>
      </c>
      <c r="P40" s="39" t="s">
        <v>393</v>
      </c>
      <c r="Q40" s="39"/>
      <c r="R40" s="41"/>
      <c r="S40" s="39"/>
      <c r="T40" s="41" t="s">
        <v>423</v>
      </c>
      <c r="U40" s="40" t="s">
        <v>424</v>
      </c>
      <c r="V40" s="41" t="s">
        <v>428</v>
      </c>
      <c r="W40" s="40" t="s">
        <v>429</v>
      </c>
      <c r="X40" s="42"/>
      <c r="Y40" s="42" t="s">
        <v>267</v>
      </c>
      <c r="Z40" s="43"/>
      <c r="AA40" s="44"/>
      <c r="AB40" s="38" t="str">
        <f t="shared" si="0"/>
        <v>3F07000000</v>
      </c>
    </row>
    <row r="41" spans="4:28" ht="33" customHeight="1">
      <c r="D41" s="39" t="s">
        <v>19</v>
      </c>
      <c r="E41" s="39" t="s">
        <v>19</v>
      </c>
      <c r="F41" s="39">
        <v>50</v>
      </c>
      <c r="G41" s="39" t="s">
        <v>388</v>
      </c>
      <c r="H41" s="39">
        <v>370</v>
      </c>
      <c r="I41" s="39" t="s">
        <v>430</v>
      </c>
      <c r="J41" s="40" t="s">
        <v>422</v>
      </c>
      <c r="K41" s="39" t="s">
        <v>262</v>
      </c>
      <c r="L41" s="39" t="s">
        <v>263</v>
      </c>
      <c r="M41" s="39">
        <v>5</v>
      </c>
      <c r="N41" s="39" t="s">
        <v>391</v>
      </c>
      <c r="O41" s="39" t="s">
        <v>392</v>
      </c>
      <c r="P41" s="39" t="s">
        <v>393</v>
      </c>
      <c r="Q41" s="39"/>
      <c r="R41" s="41"/>
      <c r="S41" s="39"/>
      <c r="T41" s="41" t="s">
        <v>423</v>
      </c>
      <c r="U41" s="40" t="s">
        <v>424</v>
      </c>
      <c r="V41" s="41" t="s">
        <v>431</v>
      </c>
      <c r="W41" s="40" t="s">
        <v>355</v>
      </c>
      <c r="X41" s="42"/>
      <c r="Y41" s="42" t="s">
        <v>267</v>
      </c>
      <c r="Z41" s="43"/>
      <c r="AA41" s="44"/>
      <c r="AB41" s="38" t="str">
        <f t="shared" si="0"/>
        <v>3F07000000</v>
      </c>
    </row>
    <row r="42" spans="4:28" ht="33" customHeight="1">
      <c r="D42" s="39" t="s">
        <v>19</v>
      </c>
      <c r="E42" s="39" t="s">
        <v>19</v>
      </c>
      <c r="F42" s="39">
        <v>50</v>
      </c>
      <c r="G42" s="39" t="s">
        <v>388</v>
      </c>
      <c r="H42" s="39">
        <v>380</v>
      </c>
      <c r="I42" s="39" t="s">
        <v>432</v>
      </c>
      <c r="J42" s="40" t="s">
        <v>433</v>
      </c>
      <c r="K42" s="39" t="s">
        <v>262</v>
      </c>
      <c r="L42" s="39" t="s">
        <v>263</v>
      </c>
      <c r="M42" s="39">
        <v>5</v>
      </c>
      <c r="N42" s="39" t="s">
        <v>391</v>
      </c>
      <c r="O42" s="39" t="s">
        <v>392</v>
      </c>
      <c r="P42" s="39" t="s">
        <v>393</v>
      </c>
      <c r="Q42" s="39"/>
      <c r="R42" s="41"/>
      <c r="S42" s="39"/>
      <c r="T42" s="41" t="s">
        <v>434</v>
      </c>
      <c r="U42" s="40" t="s">
        <v>435</v>
      </c>
      <c r="V42" s="41" t="s">
        <v>436</v>
      </c>
      <c r="W42" s="40" t="s">
        <v>426</v>
      </c>
      <c r="X42" s="42"/>
      <c r="Y42" s="42" t="s">
        <v>267</v>
      </c>
      <c r="Z42" s="43"/>
      <c r="AA42" s="44"/>
      <c r="AB42" s="38" t="str">
        <f t="shared" si="0"/>
        <v>3F07700000</v>
      </c>
    </row>
    <row r="43" spans="4:28" ht="33" customHeight="1">
      <c r="D43" s="39" t="s">
        <v>19</v>
      </c>
      <c r="E43" s="39" t="s">
        <v>19</v>
      </c>
      <c r="F43" s="39">
        <v>50</v>
      </c>
      <c r="G43" s="39" t="s">
        <v>388</v>
      </c>
      <c r="H43" s="39">
        <v>390</v>
      </c>
      <c r="I43" s="39" t="s">
        <v>437</v>
      </c>
      <c r="J43" s="40" t="s">
        <v>433</v>
      </c>
      <c r="K43" s="39" t="s">
        <v>262</v>
      </c>
      <c r="L43" s="39" t="s">
        <v>263</v>
      </c>
      <c r="M43" s="39">
        <v>5</v>
      </c>
      <c r="N43" s="39" t="s">
        <v>391</v>
      </c>
      <c r="O43" s="39" t="s">
        <v>392</v>
      </c>
      <c r="P43" s="39" t="s">
        <v>393</v>
      </c>
      <c r="Q43" s="39"/>
      <c r="R43" s="41"/>
      <c r="S43" s="39"/>
      <c r="T43" s="41" t="s">
        <v>434</v>
      </c>
      <c r="U43" s="40" t="s">
        <v>435</v>
      </c>
      <c r="V43" s="41" t="s">
        <v>438</v>
      </c>
      <c r="W43" s="40" t="s">
        <v>429</v>
      </c>
      <c r="X43" s="42"/>
      <c r="Y43" s="42" t="s">
        <v>267</v>
      </c>
      <c r="Z43" s="43"/>
      <c r="AA43" s="44"/>
      <c r="AB43" s="38" t="str">
        <f t="shared" si="0"/>
        <v>3F07700000</v>
      </c>
    </row>
    <row r="44" spans="4:28" ht="33" customHeight="1">
      <c r="D44" s="39" t="s">
        <v>19</v>
      </c>
      <c r="E44" s="39" t="s">
        <v>19</v>
      </c>
      <c r="F44" s="39">
        <v>50</v>
      </c>
      <c r="G44" s="39" t="s">
        <v>388</v>
      </c>
      <c r="H44" s="39">
        <v>400</v>
      </c>
      <c r="I44" s="39" t="s">
        <v>439</v>
      </c>
      <c r="J44" s="40" t="s">
        <v>433</v>
      </c>
      <c r="K44" s="39" t="s">
        <v>262</v>
      </c>
      <c r="L44" s="39" t="s">
        <v>263</v>
      </c>
      <c r="M44" s="39">
        <v>5</v>
      </c>
      <c r="N44" s="39" t="s">
        <v>391</v>
      </c>
      <c r="O44" s="39" t="s">
        <v>392</v>
      </c>
      <c r="P44" s="39" t="s">
        <v>393</v>
      </c>
      <c r="Q44" s="39"/>
      <c r="R44" s="41"/>
      <c r="S44" s="39"/>
      <c r="T44" s="41" t="s">
        <v>434</v>
      </c>
      <c r="U44" s="40" t="s">
        <v>435</v>
      </c>
      <c r="V44" s="41" t="s">
        <v>440</v>
      </c>
      <c r="W44" s="40" t="s">
        <v>355</v>
      </c>
      <c r="X44" s="42"/>
      <c r="Y44" s="42" t="s">
        <v>267</v>
      </c>
      <c r="Z44" s="43"/>
      <c r="AA44" s="44"/>
      <c r="AB44" s="38" t="str">
        <f t="shared" si="0"/>
        <v>3F07700000</v>
      </c>
    </row>
    <row r="45" spans="4:28" ht="33" customHeight="1">
      <c r="D45" s="39" t="s">
        <v>19</v>
      </c>
      <c r="E45" s="39" t="s">
        <v>19</v>
      </c>
      <c r="F45" s="39">
        <v>50</v>
      </c>
      <c r="G45" s="39" t="s">
        <v>388</v>
      </c>
      <c r="H45" s="39">
        <v>401</v>
      </c>
      <c r="I45" s="39" t="s">
        <v>441</v>
      </c>
      <c r="J45" s="40" t="s">
        <v>433</v>
      </c>
      <c r="K45" s="39" t="s">
        <v>262</v>
      </c>
      <c r="L45" s="39" t="s">
        <v>263</v>
      </c>
      <c r="M45" s="39">
        <v>5</v>
      </c>
      <c r="N45" s="39" t="s">
        <v>391</v>
      </c>
      <c r="O45" s="39" t="s">
        <v>392</v>
      </c>
      <c r="P45" s="39" t="s">
        <v>393</v>
      </c>
      <c r="Q45" s="39"/>
      <c r="R45" s="41"/>
      <c r="S45" s="39"/>
      <c r="T45" s="41" t="s">
        <v>434</v>
      </c>
      <c r="U45" s="40" t="s">
        <v>435</v>
      </c>
      <c r="V45" s="41" t="s">
        <v>442</v>
      </c>
      <c r="W45" s="40" t="s">
        <v>443</v>
      </c>
      <c r="X45" s="42"/>
      <c r="Y45" s="42" t="s">
        <v>267</v>
      </c>
      <c r="Z45" s="43" t="s">
        <v>444</v>
      </c>
      <c r="AA45" s="44"/>
      <c r="AB45" s="38" t="str">
        <f t="shared" si="0"/>
        <v>3F07700000</v>
      </c>
    </row>
    <row r="46" spans="4:28" ht="33" customHeight="1">
      <c r="D46" s="39" t="s">
        <v>19</v>
      </c>
      <c r="E46" s="39" t="s">
        <v>19</v>
      </c>
      <c r="F46" s="39">
        <v>50</v>
      </c>
      <c r="G46" s="39" t="s">
        <v>388</v>
      </c>
      <c r="H46" s="39">
        <v>402</v>
      </c>
      <c r="I46" s="39" t="s">
        <v>445</v>
      </c>
      <c r="J46" s="40" t="s">
        <v>446</v>
      </c>
      <c r="K46" s="39" t="s">
        <v>262</v>
      </c>
      <c r="L46" s="39" t="s">
        <v>263</v>
      </c>
      <c r="M46" s="39">
        <v>5</v>
      </c>
      <c r="N46" s="39" t="s">
        <v>391</v>
      </c>
      <c r="O46" s="39" t="s">
        <v>392</v>
      </c>
      <c r="P46" s="39" t="s">
        <v>393</v>
      </c>
      <c r="Q46" s="39"/>
      <c r="R46" s="41"/>
      <c r="S46" s="39"/>
      <c r="T46" s="41" t="s">
        <v>447</v>
      </c>
      <c r="U46" s="40" t="s">
        <v>448</v>
      </c>
      <c r="V46" s="41" t="s">
        <v>449</v>
      </c>
      <c r="W46" s="40"/>
      <c r="X46" s="42"/>
      <c r="Y46" s="42" t="s">
        <v>267</v>
      </c>
      <c r="Z46" s="43" t="s">
        <v>444</v>
      </c>
      <c r="AA46" s="44"/>
      <c r="AB46" s="38" t="str">
        <f t="shared" si="0"/>
        <v>3F06900000</v>
      </c>
    </row>
    <row r="47" spans="4:28" ht="33" customHeight="1">
      <c r="D47" s="39"/>
      <c r="E47" s="45"/>
      <c r="F47" s="39">
        <v>50</v>
      </c>
      <c r="G47" s="39" t="s">
        <v>388</v>
      </c>
      <c r="H47" s="39">
        <v>410</v>
      </c>
      <c r="I47" s="39" t="s">
        <v>450</v>
      </c>
      <c r="J47" s="40" t="s">
        <v>451</v>
      </c>
      <c r="K47" s="39" t="s">
        <v>262</v>
      </c>
      <c r="L47" s="39" t="s">
        <v>263</v>
      </c>
      <c r="M47" s="39">
        <v>5</v>
      </c>
      <c r="N47" s="39" t="s">
        <v>264</v>
      </c>
      <c r="O47" s="39" t="s">
        <v>392</v>
      </c>
      <c r="P47" s="39" t="s">
        <v>393</v>
      </c>
      <c r="Q47" s="39"/>
      <c r="R47" s="41"/>
      <c r="S47" s="39"/>
      <c r="T47" s="41" t="s">
        <v>452</v>
      </c>
      <c r="U47" s="40" t="s">
        <v>451</v>
      </c>
      <c r="V47" s="41" t="s">
        <v>453</v>
      </c>
      <c r="W47" s="40" t="s">
        <v>454</v>
      </c>
      <c r="X47" s="42"/>
      <c r="Y47" s="42" t="s">
        <v>267</v>
      </c>
      <c r="Z47" s="43"/>
      <c r="AA47" s="44"/>
      <c r="AB47" s="38" t="str">
        <f t="shared" si="0"/>
        <v>3J01000000</v>
      </c>
    </row>
    <row r="48" spans="4:28" ht="33" customHeight="1">
      <c r="D48" s="39"/>
      <c r="E48" s="45"/>
      <c r="F48" s="39">
        <v>50</v>
      </c>
      <c r="G48" s="39" t="s">
        <v>388</v>
      </c>
      <c r="H48" s="39">
        <v>420</v>
      </c>
      <c r="I48" s="39" t="s">
        <v>455</v>
      </c>
      <c r="J48" s="40" t="s">
        <v>451</v>
      </c>
      <c r="K48" s="39" t="s">
        <v>262</v>
      </c>
      <c r="L48" s="39" t="s">
        <v>263</v>
      </c>
      <c r="M48" s="39">
        <v>5</v>
      </c>
      <c r="N48" s="39" t="s">
        <v>264</v>
      </c>
      <c r="O48" s="39" t="s">
        <v>392</v>
      </c>
      <c r="P48" s="39" t="s">
        <v>393</v>
      </c>
      <c r="Q48" s="39"/>
      <c r="R48" s="41"/>
      <c r="S48" s="39"/>
      <c r="T48" s="41" t="s">
        <v>452</v>
      </c>
      <c r="U48" s="40" t="s">
        <v>451</v>
      </c>
      <c r="V48" s="41" t="s">
        <v>456</v>
      </c>
      <c r="W48" s="40" t="s">
        <v>457</v>
      </c>
      <c r="X48" s="42"/>
      <c r="Y48" s="42" t="s">
        <v>267</v>
      </c>
      <c r="Z48" s="43"/>
      <c r="AA48" s="44"/>
      <c r="AB48" s="38" t="str">
        <f t="shared" si="0"/>
        <v>3J01000000</v>
      </c>
    </row>
    <row r="49" spans="4:28" ht="33" customHeight="1">
      <c r="D49" s="39" t="s">
        <v>19</v>
      </c>
      <c r="E49" s="39" t="s">
        <v>19</v>
      </c>
      <c r="F49" s="39">
        <v>50</v>
      </c>
      <c r="G49" s="39" t="s">
        <v>388</v>
      </c>
      <c r="H49" s="39">
        <v>430</v>
      </c>
      <c r="I49" s="39" t="s">
        <v>458</v>
      </c>
      <c r="J49" s="40" t="s">
        <v>459</v>
      </c>
      <c r="K49" s="39" t="s">
        <v>262</v>
      </c>
      <c r="L49" s="39" t="s">
        <v>263</v>
      </c>
      <c r="M49" s="39">
        <v>5</v>
      </c>
      <c r="N49" s="39" t="s">
        <v>391</v>
      </c>
      <c r="O49" s="39" t="s">
        <v>460</v>
      </c>
      <c r="P49" s="39" t="s">
        <v>461</v>
      </c>
      <c r="Q49" s="39"/>
      <c r="R49" s="41"/>
      <c r="S49" s="39"/>
      <c r="T49" s="41" t="s">
        <v>462</v>
      </c>
      <c r="U49" s="40" t="s">
        <v>459</v>
      </c>
      <c r="V49" s="41" t="s">
        <v>463</v>
      </c>
      <c r="W49" s="40" t="s">
        <v>464</v>
      </c>
      <c r="X49" s="42"/>
      <c r="Y49" s="42" t="s">
        <v>267</v>
      </c>
      <c r="Z49" s="43"/>
      <c r="AA49" s="44"/>
      <c r="AB49" s="38" t="str">
        <f t="shared" si="0"/>
        <v>3B03500000</v>
      </c>
    </row>
    <row r="50" spans="4:28" ht="33" customHeight="1">
      <c r="D50" s="39" t="s">
        <v>19</v>
      </c>
      <c r="E50" s="39" t="s">
        <v>19</v>
      </c>
      <c r="F50" s="39">
        <v>50</v>
      </c>
      <c r="G50" s="39" t="s">
        <v>388</v>
      </c>
      <c r="H50" s="39">
        <v>440</v>
      </c>
      <c r="I50" s="39" t="s">
        <v>465</v>
      </c>
      <c r="J50" s="40" t="s">
        <v>459</v>
      </c>
      <c r="K50" s="39" t="s">
        <v>262</v>
      </c>
      <c r="L50" s="39" t="s">
        <v>263</v>
      </c>
      <c r="M50" s="39">
        <v>5</v>
      </c>
      <c r="N50" s="39" t="s">
        <v>391</v>
      </c>
      <c r="O50" s="39" t="s">
        <v>460</v>
      </c>
      <c r="P50" s="39" t="s">
        <v>461</v>
      </c>
      <c r="Q50" s="39"/>
      <c r="R50" s="41"/>
      <c r="S50" s="39"/>
      <c r="T50" s="41" t="s">
        <v>462</v>
      </c>
      <c r="U50" s="40" t="s">
        <v>459</v>
      </c>
      <c r="V50" s="41" t="s">
        <v>466</v>
      </c>
      <c r="W50" s="40" t="s">
        <v>457</v>
      </c>
      <c r="X50" s="42"/>
      <c r="Y50" s="42" t="s">
        <v>267</v>
      </c>
      <c r="Z50" s="43"/>
      <c r="AA50" s="44"/>
      <c r="AB50" s="38" t="str">
        <f t="shared" si="0"/>
        <v>3B03500000</v>
      </c>
    </row>
    <row r="51" spans="4:28" ht="33" customHeight="1">
      <c r="D51" s="39" t="s">
        <v>19</v>
      </c>
      <c r="E51" s="39" t="s">
        <v>19</v>
      </c>
      <c r="F51" s="39">
        <v>50</v>
      </c>
      <c r="G51" s="39" t="s">
        <v>388</v>
      </c>
      <c r="H51" s="39">
        <v>450</v>
      </c>
      <c r="I51" s="39" t="s">
        <v>467</v>
      </c>
      <c r="J51" s="40" t="s">
        <v>468</v>
      </c>
      <c r="K51" s="39" t="s">
        <v>262</v>
      </c>
      <c r="L51" s="39" t="s">
        <v>263</v>
      </c>
      <c r="M51" s="39">
        <v>5</v>
      </c>
      <c r="N51" s="39" t="s">
        <v>391</v>
      </c>
      <c r="O51" s="39" t="s">
        <v>460</v>
      </c>
      <c r="P51" s="39" t="s">
        <v>461</v>
      </c>
      <c r="Q51" s="39"/>
      <c r="R51" s="41"/>
      <c r="S51" s="39"/>
      <c r="T51" s="41" t="s">
        <v>469</v>
      </c>
      <c r="U51" s="40" t="s">
        <v>468</v>
      </c>
      <c r="V51" s="41" t="s">
        <v>470</v>
      </c>
      <c r="W51" s="40" t="s">
        <v>464</v>
      </c>
      <c r="X51" s="42"/>
      <c r="Y51" s="42" t="s">
        <v>267</v>
      </c>
      <c r="Z51" s="43"/>
      <c r="AA51" s="44"/>
      <c r="AB51" s="38" t="str">
        <f t="shared" si="0"/>
        <v>3B04500000</v>
      </c>
    </row>
    <row r="52" spans="4:28" ht="33" customHeight="1">
      <c r="D52" s="39" t="s">
        <v>19</v>
      </c>
      <c r="E52" s="39" t="s">
        <v>19</v>
      </c>
      <c r="F52" s="39">
        <v>50</v>
      </c>
      <c r="G52" s="39" t="s">
        <v>388</v>
      </c>
      <c r="H52" s="39">
        <v>460</v>
      </c>
      <c r="I52" s="39" t="s">
        <v>471</v>
      </c>
      <c r="J52" s="40" t="s">
        <v>468</v>
      </c>
      <c r="K52" s="39" t="s">
        <v>262</v>
      </c>
      <c r="L52" s="39" t="s">
        <v>263</v>
      </c>
      <c r="M52" s="39">
        <v>5</v>
      </c>
      <c r="N52" s="39" t="s">
        <v>391</v>
      </c>
      <c r="O52" s="39" t="s">
        <v>460</v>
      </c>
      <c r="P52" s="39" t="s">
        <v>461</v>
      </c>
      <c r="Q52" s="39"/>
      <c r="R52" s="41"/>
      <c r="S52" s="39"/>
      <c r="T52" s="41" t="s">
        <v>469</v>
      </c>
      <c r="U52" s="40" t="s">
        <v>468</v>
      </c>
      <c r="V52" s="41" t="s">
        <v>472</v>
      </c>
      <c r="W52" s="40" t="s">
        <v>457</v>
      </c>
      <c r="X52" s="42"/>
      <c r="Y52" s="42" t="s">
        <v>267</v>
      </c>
      <c r="Z52" s="43"/>
      <c r="AA52" s="44"/>
      <c r="AB52" s="38" t="str">
        <f t="shared" si="0"/>
        <v>3B04500000</v>
      </c>
    </row>
    <row r="53" spans="4:28" ht="33" customHeight="1">
      <c r="D53" s="39" t="s">
        <v>19</v>
      </c>
      <c r="E53" s="39" t="s">
        <v>19</v>
      </c>
      <c r="F53" s="39">
        <v>50</v>
      </c>
      <c r="G53" s="39" t="s">
        <v>388</v>
      </c>
      <c r="H53" s="39">
        <v>470</v>
      </c>
      <c r="I53" s="39" t="s">
        <v>473</v>
      </c>
      <c r="J53" s="40" t="s">
        <v>474</v>
      </c>
      <c r="K53" s="39" t="s">
        <v>262</v>
      </c>
      <c r="L53" s="39" t="s">
        <v>263</v>
      </c>
      <c r="M53" s="39">
        <v>5</v>
      </c>
      <c r="N53" s="39" t="s">
        <v>391</v>
      </c>
      <c r="O53" s="39" t="s">
        <v>460</v>
      </c>
      <c r="P53" s="39" t="s">
        <v>461</v>
      </c>
      <c r="Q53" s="39"/>
      <c r="R53" s="41"/>
      <c r="S53" s="39"/>
      <c r="T53" s="41" t="s">
        <v>475</v>
      </c>
      <c r="U53" s="40" t="s">
        <v>474</v>
      </c>
      <c r="V53" s="41" t="s">
        <v>476</v>
      </c>
      <c r="W53" s="40" t="s">
        <v>477</v>
      </c>
      <c r="X53" s="42"/>
      <c r="Y53" s="42" t="s">
        <v>267</v>
      </c>
      <c r="Z53" s="43"/>
      <c r="AA53" s="44"/>
      <c r="AB53" s="38" t="str">
        <f t="shared" si="0"/>
        <v>3B09000000</v>
      </c>
    </row>
    <row r="54" spans="4:28" ht="33" customHeight="1">
      <c r="D54" s="39" t="s">
        <v>19</v>
      </c>
      <c r="E54" s="39" t="s">
        <v>19</v>
      </c>
      <c r="F54" s="39">
        <v>50</v>
      </c>
      <c r="G54" s="39" t="s">
        <v>388</v>
      </c>
      <c r="H54" s="39">
        <v>480</v>
      </c>
      <c r="I54" s="39" t="s">
        <v>478</v>
      </c>
      <c r="J54" s="40" t="s">
        <v>474</v>
      </c>
      <c r="K54" s="39" t="s">
        <v>262</v>
      </c>
      <c r="L54" s="39" t="s">
        <v>263</v>
      </c>
      <c r="M54" s="39">
        <v>5</v>
      </c>
      <c r="N54" s="39" t="s">
        <v>391</v>
      </c>
      <c r="O54" s="39" t="s">
        <v>460</v>
      </c>
      <c r="P54" s="39" t="s">
        <v>461</v>
      </c>
      <c r="Q54" s="39"/>
      <c r="R54" s="41"/>
      <c r="S54" s="39"/>
      <c r="T54" s="41" t="s">
        <v>475</v>
      </c>
      <c r="U54" s="40" t="s">
        <v>474</v>
      </c>
      <c r="V54" s="41" t="s">
        <v>479</v>
      </c>
      <c r="W54" s="40" t="s">
        <v>457</v>
      </c>
      <c r="X54" s="42"/>
      <c r="Y54" s="42" t="s">
        <v>267</v>
      </c>
      <c r="Z54" s="43"/>
      <c r="AA54" s="44"/>
      <c r="AB54" s="38" t="str">
        <f t="shared" si="0"/>
        <v>3B09000000</v>
      </c>
    </row>
    <row r="55" spans="4:28" ht="33" customHeight="1">
      <c r="D55" s="39"/>
      <c r="E55" s="45"/>
      <c r="F55" s="39">
        <v>50</v>
      </c>
      <c r="G55" s="39" t="s">
        <v>388</v>
      </c>
      <c r="H55" s="39">
        <v>490</v>
      </c>
      <c r="I55" s="39" t="s">
        <v>480</v>
      </c>
      <c r="J55" s="40" t="s">
        <v>481</v>
      </c>
      <c r="K55" s="39" t="s">
        <v>262</v>
      </c>
      <c r="L55" s="39" t="s">
        <v>263</v>
      </c>
      <c r="M55" s="39">
        <v>5</v>
      </c>
      <c r="N55" s="39" t="s">
        <v>391</v>
      </c>
      <c r="O55" s="39" t="s">
        <v>460</v>
      </c>
      <c r="P55" s="39" t="s">
        <v>461</v>
      </c>
      <c r="Q55" s="39"/>
      <c r="R55" s="41"/>
      <c r="S55" s="39"/>
      <c r="T55" s="41" t="s">
        <v>482</v>
      </c>
      <c r="U55" s="40" t="s">
        <v>483</v>
      </c>
      <c r="V55" s="41" t="s">
        <v>484</v>
      </c>
      <c r="W55" s="40" t="s">
        <v>477</v>
      </c>
      <c r="X55" s="42"/>
      <c r="Y55" s="42" t="s">
        <v>267</v>
      </c>
      <c r="Z55" s="43"/>
      <c r="AA55" s="44"/>
      <c r="AB55" s="38" t="str">
        <f t="shared" si="0"/>
        <v>3B07000000</v>
      </c>
    </row>
    <row r="56" spans="4:28" ht="33" customHeight="1">
      <c r="D56" s="39"/>
      <c r="E56" s="45"/>
      <c r="F56" s="39">
        <v>50</v>
      </c>
      <c r="G56" s="39" t="s">
        <v>388</v>
      </c>
      <c r="H56" s="39">
        <v>495</v>
      </c>
      <c r="I56" s="39" t="s">
        <v>485</v>
      </c>
      <c r="J56" s="40" t="s">
        <v>481</v>
      </c>
      <c r="K56" s="39" t="s">
        <v>262</v>
      </c>
      <c r="L56" s="39" t="s">
        <v>263</v>
      </c>
      <c r="M56" s="39">
        <v>5</v>
      </c>
      <c r="N56" s="39" t="s">
        <v>391</v>
      </c>
      <c r="O56" s="39" t="s">
        <v>460</v>
      </c>
      <c r="P56" s="39" t="s">
        <v>461</v>
      </c>
      <c r="Q56" s="39"/>
      <c r="R56" s="41"/>
      <c r="S56" s="39"/>
      <c r="T56" s="41" t="s">
        <v>482</v>
      </c>
      <c r="U56" s="40" t="s">
        <v>483</v>
      </c>
      <c r="V56" s="41" t="s">
        <v>486</v>
      </c>
      <c r="W56" s="40" t="s">
        <v>487</v>
      </c>
      <c r="X56" s="42"/>
      <c r="Y56" s="42" t="s">
        <v>267</v>
      </c>
      <c r="Z56" s="43" t="s">
        <v>417</v>
      </c>
      <c r="AA56" s="44"/>
      <c r="AB56" s="38" t="str">
        <f t="shared" si="0"/>
        <v>3B07000000</v>
      </c>
    </row>
    <row r="57" spans="4:28" ht="33" customHeight="1">
      <c r="D57" s="39"/>
      <c r="E57" s="45"/>
      <c r="F57" s="39">
        <v>50</v>
      </c>
      <c r="G57" s="39" t="s">
        <v>388</v>
      </c>
      <c r="H57" s="39">
        <v>500</v>
      </c>
      <c r="I57" s="39" t="s">
        <v>488</v>
      </c>
      <c r="J57" s="40" t="s">
        <v>481</v>
      </c>
      <c r="K57" s="39" t="s">
        <v>262</v>
      </c>
      <c r="L57" s="39" t="s">
        <v>263</v>
      </c>
      <c r="M57" s="39">
        <v>5</v>
      </c>
      <c r="N57" s="39" t="s">
        <v>391</v>
      </c>
      <c r="O57" s="39" t="s">
        <v>460</v>
      </c>
      <c r="P57" s="39" t="s">
        <v>461</v>
      </c>
      <c r="Q57" s="39"/>
      <c r="R57" s="41"/>
      <c r="S57" s="39"/>
      <c r="T57" s="41" t="s">
        <v>482</v>
      </c>
      <c r="U57" s="40" t="s">
        <v>483</v>
      </c>
      <c r="V57" s="41" t="s">
        <v>489</v>
      </c>
      <c r="W57" s="40" t="s">
        <v>355</v>
      </c>
      <c r="X57" s="42"/>
      <c r="Y57" s="42" t="s">
        <v>267</v>
      </c>
      <c r="Z57" s="43"/>
      <c r="AA57" s="44"/>
      <c r="AB57" s="38" t="str">
        <f t="shared" si="0"/>
        <v>3B07000000</v>
      </c>
    </row>
    <row r="58" spans="4:28" ht="33" customHeight="1">
      <c r="D58" s="39"/>
      <c r="E58" s="45"/>
      <c r="F58" s="39">
        <v>50</v>
      </c>
      <c r="G58" s="39" t="s">
        <v>388</v>
      </c>
      <c r="H58" s="39">
        <v>502</v>
      </c>
      <c r="I58" s="39" t="s">
        <v>490</v>
      </c>
      <c r="J58" s="40" t="s">
        <v>491</v>
      </c>
      <c r="K58" s="39" t="s">
        <v>262</v>
      </c>
      <c r="L58" s="39" t="s">
        <v>263</v>
      </c>
      <c r="M58" s="39">
        <v>5</v>
      </c>
      <c r="N58" s="39" t="s">
        <v>391</v>
      </c>
      <c r="O58" s="39" t="s">
        <v>460</v>
      </c>
      <c r="P58" s="39" t="s">
        <v>461</v>
      </c>
      <c r="Q58" s="39"/>
      <c r="R58" s="41"/>
      <c r="S58" s="39"/>
      <c r="T58" s="41" t="s">
        <v>492</v>
      </c>
      <c r="U58" s="40" t="s">
        <v>491</v>
      </c>
      <c r="V58" s="41" t="s">
        <v>493</v>
      </c>
      <c r="W58" s="40" t="s">
        <v>477</v>
      </c>
      <c r="X58" s="42"/>
      <c r="Y58" s="42" t="s">
        <v>267</v>
      </c>
      <c r="Z58" s="43" t="s">
        <v>417</v>
      </c>
      <c r="AA58" s="44"/>
      <c r="AB58" s="38" t="str">
        <f t="shared" si="0"/>
        <v>3B05000000</v>
      </c>
    </row>
    <row r="59" spans="4:28" ht="33" customHeight="1">
      <c r="D59" s="39"/>
      <c r="E59" s="45"/>
      <c r="F59" s="39">
        <v>50</v>
      </c>
      <c r="G59" s="39" t="s">
        <v>388</v>
      </c>
      <c r="H59" s="39">
        <v>504</v>
      </c>
      <c r="I59" s="39" t="s">
        <v>494</v>
      </c>
      <c r="J59" s="40" t="s">
        <v>491</v>
      </c>
      <c r="K59" s="39" t="s">
        <v>262</v>
      </c>
      <c r="L59" s="39" t="s">
        <v>263</v>
      </c>
      <c r="M59" s="39">
        <v>5</v>
      </c>
      <c r="N59" s="39" t="s">
        <v>391</v>
      </c>
      <c r="O59" s="39" t="s">
        <v>460</v>
      </c>
      <c r="P59" s="39" t="s">
        <v>461</v>
      </c>
      <c r="Q59" s="39"/>
      <c r="R59" s="41"/>
      <c r="S59" s="39"/>
      <c r="T59" s="41" t="s">
        <v>492</v>
      </c>
      <c r="U59" s="40" t="s">
        <v>491</v>
      </c>
      <c r="V59" s="41" t="s">
        <v>495</v>
      </c>
      <c r="W59" s="40" t="s">
        <v>487</v>
      </c>
      <c r="X59" s="42"/>
      <c r="Y59" s="42" t="s">
        <v>267</v>
      </c>
      <c r="Z59" s="43" t="s">
        <v>417</v>
      </c>
      <c r="AA59" s="44"/>
      <c r="AB59" s="38" t="str">
        <f t="shared" si="0"/>
        <v>3B05000000</v>
      </c>
    </row>
    <row r="60" spans="4:28" ht="33" customHeight="1">
      <c r="D60" s="39"/>
      <c r="E60" s="45"/>
      <c r="F60" s="39">
        <v>50</v>
      </c>
      <c r="G60" s="39" t="s">
        <v>388</v>
      </c>
      <c r="H60" s="39">
        <v>506</v>
      </c>
      <c r="I60" s="39" t="s">
        <v>496</v>
      </c>
      <c r="J60" s="40" t="s">
        <v>491</v>
      </c>
      <c r="K60" s="39" t="s">
        <v>262</v>
      </c>
      <c r="L60" s="39" t="s">
        <v>263</v>
      </c>
      <c r="M60" s="39">
        <v>5</v>
      </c>
      <c r="N60" s="39" t="s">
        <v>391</v>
      </c>
      <c r="O60" s="39" t="s">
        <v>460</v>
      </c>
      <c r="P60" s="39" t="s">
        <v>461</v>
      </c>
      <c r="Q60" s="39"/>
      <c r="R60" s="41"/>
      <c r="S60" s="39"/>
      <c r="T60" s="41" t="s">
        <v>492</v>
      </c>
      <c r="U60" s="40" t="s">
        <v>491</v>
      </c>
      <c r="V60" s="41" t="s">
        <v>497</v>
      </c>
      <c r="W60" s="40" t="s">
        <v>355</v>
      </c>
      <c r="X60" s="42"/>
      <c r="Y60" s="42" t="s">
        <v>267</v>
      </c>
      <c r="Z60" s="43" t="s">
        <v>417</v>
      </c>
      <c r="AA60" s="44"/>
      <c r="AB60" s="38" t="str">
        <f t="shared" si="0"/>
        <v>3B05000000</v>
      </c>
    </row>
    <row r="61" spans="4:28" ht="33" customHeight="1">
      <c r="D61" s="46" t="s">
        <v>498</v>
      </c>
      <c r="E61" s="46" t="s">
        <v>499</v>
      </c>
      <c r="F61" s="39">
        <v>50</v>
      </c>
      <c r="G61" s="39" t="s">
        <v>388</v>
      </c>
      <c r="H61" s="39">
        <v>510</v>
      </c>
      <c r="I61" s="39" t="s">
        <v>500</v>
      </c>
      <c r="J61" s="40" t="s">
        <v>501</v>
      </c>
      <c r="K61" s="39" t="s">
        <v>262</v>
      </c>
      <c r="L61" s="39" t="s">
        <v>263</v>
      </c>
      <c r="M61" s="39">
        <v>5</v>
      </c>
      <c r="N61" s="39" t="s">
        <v>502</v>
      </c>
      <c r="O61" s="39" t="s">
        <v>392</v>
      </c>
      <c r="P61" s="39" t="s">
        <v>393</v>
      </c>
      <c r="Q61" s="39"/>
      <c r="R61" s="41" t="s">
        <v>503</v>
      </c>
      <c r="S61" s="39" t="s">
        <v>504</v>
      </c>
      <c r="T61" s="41" t="s">
        <v>505</v>
      </c>
      <c r="U61" s="40" t="s">
        <v>501</v>
      </c>
      <c r="V61" s="41" t="s">
        <v>506</v>
      </c>
      <c r="W61" s="40" t="s">
        <v>507</v>
      </c>
      <c r="X61" s="42"/>
      <c r="Y61" s="42" t="s">
        <v>267</v>
      </c>
      <c r="Z61" s="43"/>
      <c r="AA61" s="44"/>
      <c r="AB61" s="38" t="str">
        <f t="shared" si="0"/>
        <v>3C01500000</v>
      </c>
    </row>
    <row r="62" spans="4:28" ht="33" customHeight="1">
      <c r="D62" s="46" t="s">
        <v>498</v>
      </c>
      <c r="E62" s="46" t="s">
        <v>499</v>
      </c>
      <c r="F62" s="39">
        <v>50</v>
      </c>
      <c r="G62" s="39" t="s">
        <v>388</v>
      </c>
      <c r="H62" s="39">
        <v>520</v>
      </c>
      <c r="I62" s="39" t="s">
        <v>508</v>
      </c>
      <c r="J62" s="40" t="s">
        <v>501</v>
      </c>
      <c r="K62" s="39" t="s">
        <v>262</v>
      </c>
      <c r="L62" s="39" t="s">
        <v>263</v>
      </c>
      <c r="M62" s="39">
        <v>5</v>
      </c>
      <c r="N62" s="39" t="s">
        <v>502</v>
      </c>
      <c r="O62" s="39" t="s">
        <v>392</v>
      </c>
      <c r="P62" s="39" t="s">
        <v>393</v>
      </c>
      <c r="Q62" s="39"/>
      <c r="R62" s="41" t="s">
        <v>503</v>
      </c>
      <c r="S62" s="39" t="s">
        <v>504</v>
      </c>
      <c r="T62" s="41" t="s">
        <v>505</v>
      </c>
      <c r="U62" s="40" t="s">
        <v>501</v>
      </c>
      <c r="V62" s="41" t="s">
        <v>509</v>
      </c>
      <c r="W62" s="40" t="s">
        <v>457</v>
      </c>
      <c r="X62" s="42"/>
      <c r="Y62" s="42" t="s">
        <v>267</v>
      </c>
      <c r="Z62" s="43"/>
      <c r="AA62" s="44"/>
      <c r="AB62" s="38" t="str">
        <f t="shared" si="0"/>
        <v>3C01500000</v>
      </c>
    </row>
    <row r="63" spans="4:28" ht="33" customHeight="1">
      <c r="D63" s="46" t="s">
        <v>498</v>
      </c>
      <c r="E63" s="46" t="s">
        <v>499</v>
      </c>
      <c r="F63" s="39">
        <v>50</v>
      </c>
      <c r="G63" s="39" t="s">
        <v>388</v>
      </c>
      <c r="H63" s="39">
        <v>525</v>
      </c>
      <c r="I63" s="39" t="s">
        <v>510</v>
      </c>
      <c r="J63" s="40" t="s">
        <v>511</v>
      </c>
      <c r="K63" s="39" t="s">
        <v>307</v>
      </c>
      <c r="L63" s="39" t="s">
        <v>308</v>
      </c>
      <c r="M63" s="39">
        <v>1</v>
      </c>
      <c r="N63" s="39" t="s">
        <v>309</v>
      </c>
      <c r="O63" s="39"/>
      <c r="P63" s="39"/>
      <c r="Q63" s="39"/>
      <c r="R63" s="41" t="s">
        <v>503</v>
      </c>
      <c r="S63" s="39" t="s">
        <v>512</v>
      </c>
      <c r="T63" s="41" t="s">
        <v>505</v>
      </c>
      <c r="U63" s="40" t="s">
        <v>501</v>
      </c>
      <c r="V63" s="41"/>
      <c r="W63" s="40"/>
      <c r="X63" s="42" t="s">
        <v>513</v>
      </c>
      <c r="Y63" s="42" t="s">
        <v>267</v>
      </c>
      <c r="Z63" s="43" t="s">
        <v>444</v>
      </c>
      <c r="AA63" s="44"/>
      <c r="AB63" s="38" t="str">
        <f t="shared" si="0"/>
        <v>3C01516160</v>
      </c>
    </row>
    <row r="64" spans="4:28" ht="93.75" customHeight="1">
      <c r="D64" s="46" t="s">
        <v>498</v>
      </c>
      <c r="E64" s="46" t="s">
        <v>499</v>
      </c>
      <c r="F64" s="39">
        <v>50</v>
      </c>
      <c r="G64" s="39" t="s">
        <v>388</v>
      </c>
      <c r="H64" s="39">
        <v>526</v>
      </c>
      <c r="I64" s="39" t="s">
        <v>503</v>
      </c>
      <c r="J64" s="40" t="s">
        <v>514</v>
      </c>
      <c r="K64" s="39" t="s">
        <v>302</v>
      </c>
      <c r="L64" s="39" t="s">
        <v>303</v>
      </c>
      <c r="M64" s="39">
        <v>256</v>
      </c>
      <c r="N64" s="39"/>
      <c r="O64" s="39"/>
      <c r="P64" s="39"/>
      <c r="Q64" s="39"/>
      <c r="R64" s="41" t="s">
        <v>503</v>
      </c>
      <c r="S64" s="39" t="s">
        <v>512</v>
      </c>
      <c r="T64" s="41" t="s">
        <v>505</v>
      </c>
      <c r="U64" s="40" t="s">
        <v>501</v>
      </c>
      <c r="V64" s="41"/>
      <c r="W64" s="40"/>
      <c r="X64" s="42"/>
      <c r="Y64" s="42" t="s">
        <v>267</v>
      </c>
      <c r="Z64" s="43" t="s">
        <v>444</v>
      </c>
      <c r="AA64" s="44" t="s">
        <v>515</v>
      </c>
      <c r="AB64" s="38" t="str">
        <f t="shared" si="0"/>
        <v>3C01516100</v>
      </c>
    </row>
    <row r="65" spans="4:28" ht="33" customHeight="1">
      <c r="D65" s="46" t="s">
        <v>498</v>
      </c>
      <c r="E65" s="46" t="s">
        <v>499</v>
      </c>
      <c r="F65" s="39">
        <v>50</v>
      </c>
      <c r="G65" s="39" t="s">
        <v>388</v>
      </c>
      <c r="H65" s="39">
        <v>527</v>
      </c>
      <c r="I65" s="39" t="s">
        <v>516</v>
      </c>
      <c r="J65" s="40" t="s">
        <v>517</v>
      </c>
      <c r="K65" s="39" t="s">
        <v>262</v>
      </c>
      <c r="L65" s="39" t="s">
        <v>263</v>
      </c>
      <c r="M65" s="39">
        <v>5</v>
      </c>
      <c r="N65" s="39" t="s">
        <v>264</v>
      </c>
      <c r="O65" s="39" t="s">
        <v>518</v>
      </c>
      <c r="P65" s="39" t="s">
        <v>518</v>
      </c>
      <c r="Q65" s="39"/>
      <c r="R65" s="41" t="s">
        <v>503</v>
      </c>
      <c r="S65" s="39" t="s">
        <v>504</v>
      </c>
      <c r="T65" s="41" t="s">
        <v>519</v>
      </c>
      <c r="U65" s="40" t="s">
        <v>501</v>
      </c>
      <c r="V65" s="41" t="s">
        <v>520</v>
      </c>
      <c r="W65" s="40"/>
      <c r="X65" s="42"/>
      <c r="Y65" s="42" t="s">
        <v>267</v>
      </c>
      <c r="Z65" s="43" t="s">
        <v>444</v>
      </c>
      <c r="AA65" s="44" t="s">
        <v>521</v>
      </c>
      <c r="AB65" s="38" t="str">
        <f t="shared" si="0"/>
        <v>8A06500000</v>
      </c>
    </row>
    <row r="66" spans="4:28" ht="33" customHeight="1">
      <c r="D66" s="39"/>
      <c r="E66" s="45"/>
      <c r="F66" s="39">
        <v>50</v>
      </c>
      <c r="G66" s="39" t="s">
        <v>388</v>
      </c>
      <c r="H66" s="39">
        <v>530</v>
      </c>
      <c r="I66" s="39" t="s">
        <v>522</v>
      </c>
      <c r="J66" s="40" t="s">
        <v>523</v>
      </c>
      <c r="K66" s="39" t="s">
        <v>262</v>
      </c>
      <c r="L66" s="39" t="s">
        <v>263</v>
      </c>
      <c r="M66" s="39">
        <v>4</v>
      </c>
      <c r="N66" s="39" t="s">
        <v>273</v>
      </c>
      <c r="O66" s="39" t="s">
        <v>392</v>
      </c>
      <c r="P66" s="39" t="s">
        <v>393</v>
      </c>
      <c r="Q66" s="39"/>
      <c r="R66" s="41"/>
      <c r="S66" s="39"/>
      <c r="T66" s="41" t="s">
        <v>524</v>
      </c>
      <c r="U66" s="40" t="s">
        <v>523</v>
      </c>
      <c r="V66" s="41" t="s">
        <v>525</v>
      </c>
      <c r="W66" s="40" t="s">
        <v>526</v>
      </c>
      <c r="X66" s="42"/>
      <c r="Y66" s="42" t="s">
        <v>267</v>
      </c>
      <c r="Z66" s="43"/>
      <c r="AA66" s="44"/>
      <c r="AB66" s="38" t="str">
        <f t="shared" si="0"/>
        <v>3C02000000</v>
      </c>
    </row>
    <row r="67" spans="4:28" ht="33" customHeight="1">
      <c r="D67" s="39"/>
      <c r="E67" s="45"/>
      <c r="F67" s="39">
        <v>50</v>
      </c>
      <c r="G67" s="39" t="s">
        <v>388</v>
      </c>
      <c r="H67" s="39">
        <v>540</v>
      </c>
      <c r="I67" s="39" t="s">
        <v>527</v>
      </c>
      <c r="J67" s="40" t="s">
        <v>523</v>
      </c>
      <c r="K67" s="39" t="s">
        <v>262</v>
      </c>
      <c r="L67" s="39" t="s">
        <v>263</v>
      </c>
      <c r="M67" s="39">
        <v>4</v>
      </c>
      <c r="N67" s="39" t="s">
        <v>273</v>
      </c>
      <c r="O67" s="39" t="s">
        <v>392</v>
      </c>
      <c r="P67" s="39" t="s">
        <v>393</v>
      </c>
      <c r="Q67" s="39"/>
      <c r="R67" s="41"/>
      <c r="S67" s="39"/>
      <c r="T67" s="41" t="s">
        <v>524</v>
      </c>
      <c r="U67" s="40" t="s">
        <v>523</v>
      </c>
      <c r="V67" s="41" t="s">
        <v>528</v>
      </c>
      <c r="W67" s="40" t="s">
        <v>457</v>
      </c>
      <c r="X67" s="42"/>
      <c r="Y67" s="42" t="s">
        <v>267</v>
      </c>
      <c r="Z67" s="43"/>
      <c r="AA67" s="44"/>
      <c r="AB67" s="38" t="str">
        <f t="shared" ref="AB67:AB130" si="1">LEFT(I67,10)</f>
        <v>3C02000000</v>
      </c>
    </row>
    <row r="68" spans="4:28" ht="33" customHeight="1">
      <c r="D68" s="39"/>
      <c r="E68" s="45"/>
      <c r="F68" s="39">
        <v>50</v>
      </c>
      <c r="G68" s="39" t="s">
        <v>388</v>
      </c>
      <c r="H68" s="39">
        <v>550</v>
      </c>
      <c r="I68" s="39" t="s">
        <v>529</v>
      </c>
      <c r="J68" s="40" t="s">
        <v>530</v>
      </c>
      <c r="K68" s="39" t="s">
        <v>262</v>
      </c>
      <c r="L68" s="39" t="s">
        <v>263</v>
      </c>
      <c r="M68" s="39">
        <v>4</v>
      </c>
      <c r="N68" s="39" t="s">
        <v>273</v>
      </c>
      <c r="O68" s="39" t="s">
        <v>531</v>
      </c>
      <c r="P68" s="39" t="s">
        <v>532</v>
      </c>
      <c r="Q68" s="39"/>
      <c r="R68" s="41"/>
      <c r="S68" s="39"/>
      <c r="T68" s="41" t="s">
        <v>533</v>
      </c>
      <c r="U68" s="40" t="s">
        <v>530</v>
      </c>
      <c r="V68" s="41" t="s">
        <v>534</v>
      </c>
      <c r="W68" s="40" t="s">
        <v>535</v>
      </c>
      <c r="X68" s="42"/>
      <c r="Y68" s="42" t="s">
        <v>267</v>
      </c>
      <c r="Z68" s="43"/>
      <c r="AA68" s="44"/>
      <c r="AB68" s="38" t="str">
        <f t="shared" si="1"/>
        <v>3A01000000</v>
      </c>
    </row>
    <row r="69" spans="4:28" ht="33" customHeight="1">
      <c r="D69" s="39"/>
      <c r="E69" s="45"/>
      <c r="F69" s="39">
        <v>50</v>
      </c>
      <c r="G69" s="39" t="s">
        <v>388</v>
      </c>
      <c r="H69" s="39">
        <v>560</v>
      </c>
      <c r="I69" s="39" t="s">
        <v>536</v>
      </c>
      <c r="J69" s="40" t="s">
        <v>530</v>
      </c>
      <c r="K69" s="39" t="s">
        <v>262</v>
      </c>
      <c r="L69" s="39" t="s">
        <v>263</v>
      </c>
      <c r="M69" s="39">
        <v>4</v>
      </c>
      <c r="N69" s="39" t="s">
        <v>273</v>
      </c>
      <c r="O69" s="39" t="s">
        <v>531</v>
      </c>
      <c r="P69" s="39" t="s">
        <v>532</v>
      </c>
      <c r="Q69" s="39"/>
      <c r="R69" s="41"/>
      <c r="S69" s="39"/>
      <c r="T69" s="41" t="s">
        <v>533</v>
      </c>
      <c r="U69" s="40" t="s">
        <v>530</v>
      </c>
      <c r="V69" s="41" t="s">
        <v>537</v>
      </c>
      <c r="W69" s="40" t="s">
        <v>457</v>
      </c>
      <c r="X69" s="42"/>
      <c r="Y69" s="42" t="s">
        <v>267</v>
      </c>
      <c r="Z69" s="43"/>
      <c r="AA69" s="44"/>
      <c r="AB69" s="38" t="str">
        <f t="shared" si="1"/>
        <v>3A01000000</v>
      </c>
    </row>
    <row r="70" spans="4:28" ht="33" customHeight="1">
      <c r="D70" s="39"/>
      <c r="E70" s="45"/>
      <c r="F70" s="39">
        <v>50</v>
      </c>
      <c r="G70" s="39" t="s">
        <v>388</v>
      </c>
      <c r="H70" s="39">
        <v>570</v>
      </c>
      <c r="I70" s="39" t="s">
        <v>538</v>
      </c>
      <c r="J70" s="40" t="s">
        <v>539</v>
      </c>
      <c r="K70" s="39" t="s">
        <v>262</v>
      </c>
      <c r="L70" s="39" t="s">
        <v>263</v>
      </c>
      <c r="M70" s="39">
        <v>4</v>
      </c>
      <c r="N70" s="39" t="s">
        <v>273</v>
      </c>
      <c r="O70" s="39" t="s">
        <v>531</v>
      </c>
      <c r="P70" s="39" t="s">
        <v>532</v>
      </c>
      <c r="Q70" s="39"/>
      <c r="R70" s="41"/>
      <c r="S70" s="39"/>
      <c r="T70" s="41" t="s">
        <v>540</v>
      </c>
      <c r="U70" s="40" t="s">
        <v>539</v>
      </c>
      <c r="V70" s="41" t="s">
        <v>541</v>
      </c>
      <c r="W70" s="40" t="s">
        <v>542</v>
      </c>
      <c r="X70" s="42"/>
      <c r="Y70" s="42" t="s">
        <v>267</v>
      </c>
      <c r="Z70" s="43"/>
      <c r="AA70" s="44"/>
      <c r="AB70" s="38" t="str">
        <f t="shared" si="1"/>
        <v>3A01500000</v>
      </c>
    </row>
    <row r="71" spans="4:28" ht="33" customHeight="1">
      <c r="D71" s="39"/>
      <c r="E71" s="45"/>
      <c r="F71" s="39">
        <v>50</v>
      </c>
      <c r="G71" s="39" t="s">
        <v>388</v>
      </c>
      <c r="H71" s="39">
        <v>580</v>
      </c>
      <c r="I71" s="39" t="s">
        <v>543</v>
      </c>
      <c r="J71" s="40" t="s">
        <v>539</v>
      </c>
      <c r="K71" s="39" t="s">
        <v>262</v>
      </c>
      <c r="L71" s="39" t="s">
        <v>263</v>
      </c>
      <c r="M71" s="39">
        <v>4</v>
      </c>
      <c r="N71" s="39" t="s">
        <v>273</v>
      </c>
      <c r="O71" s="39" t="s">
        <v>531</v>
      </c>
      <c r="P71" s="39" t="s">
        <v>532</v>
      </c>
      <c r="Q71" s="39"/>
      <c r="R71" s="41"/>
      <c r="S71" s="39"/>
      <c r="T71" s="41" t="s">
        <v>540</v>
      </c>
      <c r="U71" s="40" t="s">
        <v>539</v>
      </c>
      <c r="V71" s="41" t="s">
        <v>544</v>
      </c>
      <c r="W71" s="40" t="s">
        <v>457</v>
      </c>
      <c r="X71" s="42"/>
      <c r="Y71" s="42" t="s">
        <v>267</v>
      </c>
      <c r="Z71" s="43"/>
      <c r="AA71" s="44"/>
      <c r="AB71" s="38" t="str">
        <f t="shared" si="1"/>
        <v>3A01500000</v>
      </c>
    </row>
    <row r="72" spans="4:28" ht="33" customHeight="1">
      <c r="D72" s="39"/>
      <c r="E72" s="45"/>
      <c r="F72" s="39">
        <v>50</v>
      </c>
      <c r="G72" s="39" t="s">
        <v>388</v>
      </c>
      <c r="H72" s="39">
        <v>590</v>
      </c>
      <c r="I72" s="39" t="s">
        <v>545</v>
      </c>
      <c r="J72" s="40" t="s">
        <v>546</v>
      </c>
      <c r="K72" s="39" t="s">
        <v>262</v>
      </c>
      <c r="L72" s="39" t="s">
        <v>263</v>
      </c>
      <c r="M72" s="39">
        <v>5</v>
      </c>
      <c r="N72" s="39" t="s">
        <v>502</v>
      </c>
      <c r="O72" s="39"/>
      <c r="P72" s="39"/>
      <c r="Q72" s="39"/>
      <c r="R72" s="41"/>
      <c r="S72" s="39"/>
      <c r="T72" s="41" t="s">
        <v>547</v>
      </c>
      <c r="U72" s="40" t="s">
        <v>548</v>
      </c>
      <c r="V72" s="41"/>
      <c r="W72" s="40"/>
      <c r="X72" s="42"/>
      <c r="Y72" s="42" t="s">
        <v>267</v>
      </c>
      <c r="Z72" s="43"/>
      <c r="AA72" s="44" t="s">
        <v>549</v>
      </c>
      <c r="AB72" s="38" t="str">
        <f t="shared" si="1"/>
        <v>3A01600000</v>
      </c>
    </row>
    <row r="73" spans="4:28" ht="33" customHeight="1">
      <c r="D73" s="39"/>
      <c r="E73" s="45"/>
      <c r="F73" s="39">
        <v>50</v>
      </c>
      <c r="G73" s="39" t="s">
        <v>388</v>
      </c>
      <c r="H73" s="39">
        <v>600</v>
      </c>
      <c r="I73" s="39" t="s">
        <v>550</v>
      </c>
      <c r="J73" s="40" t="s">
        <v>551</v>
      </c>
      <c r="K73" s="39" t="s">
        <v>262</v>
      </c>
      <c r="L73" s="39" t="s">
        <v>263</v>
      </c>
      <c r="M73" s="39">
        <v>5</v>
      </c>
      <c r="N73" s="39" t="s">
        <v>264</v>
      </c>
      <c r="O73" s="39" t="s">
        <v>552</v>
      </c>
      <c r="P73" s="39" t="s">
        <v>553</v>
      </c>
      <c r="Q73" s="39"/>
      <c r="R73" s="41"/>
      <c r="S73" s="39"/>
      <c r="T73" s="41" t="s">
        <v>554</v>
      </c>
      <c r="U73" s="40" t="s">
        <v>551</v>
      </c>
      <c r="V73" s="41" t="s">
        <v>555</v>
      </c>
      <c r="W73" s="40" t="s">
        <v>556</v>
      </c>
      <c r="X73" s="42"/>
      <c r="Y73" s="42" t="s">
        <v>267</v>
      </c>
      <c r="Z73" s="43"/>
      <c r="AA73" s="44"/>
      <c r="AB73" s="38" t="str">
        <f t="shared" si="1"/>
        <v>5C09500000</v>
      </c>
    </row>
    <row r="74" spans="4:28" ht="33" customHeight="1">
      <c r="D74" s="39"/>
      <c r="E74" s="45"/>
      <c r="F74" s="39">
        <v>50</v>
      </c>
      <c r="G74" s="39" t="s">
        <v>388</v>
      </c>
      <c r="H74" s="39">
        <v>610</v>
      </c>
      <c r="I74" s="39" t="s">
        <v>557</v>
      </c>
      <c r="J74" s="40" t="s">
        <v>551</v>
      </c>
      <c r="K74" s="39" t="s">
        <v>262</v>
      </c>
      <c r="L74" s="39" t="s">
        <v>263</v>
      </c>
      <c r="M74" s="39">
        <v>5</v>
      </c>
      <c r="N74" s="39" t="s">
        <v>264</v>
      </c>
      <c r="O74" s="39" t="s">
        <v>552</v>
      </c>
      <c r="P74" s="39" t="s">
        <v>553</v>
      </c>
      <c r="Q74" s="39"/>
      <c r="R74" s="41"/>
      <c r="S74" s="39"/>
      <c r="T74" s="41" t="s">
        <v>554</v>
      </c>
      <c r="U74" s="40" t="s">
        <v>551</v>
      </c>
      <c r="V74" s="41" t="s">
        <v>558</v>
      </c>
      <c r="W74" s="40" t="s">
        <v>457</v>
      </c>
      <c r="X74" s="42"/>
      <c r="Y74" s="42" t="s">
        <v>267</v>
      </c>
      <c r="Z74" s="43"/>
      <c r="AA74" s="44"/>
      <c r="AB74" s="38" t="str">
        <f t="shared" si="1"/>
        <v>5C09500000</v>
      </c>
    </row>
    <row r="75" spans="4:28" ht="33" customHeight="1">
      <c r="D75" s="46" t="s">
        <v>559</v>
      </c>
      <c r="E75" s="46" t="s">
        <v>559</v>
      </c>
      <c r="F75" s="39">
        <v>60</v>
      </c>
      <c r="G75" s="39" t="s">
        <v>560</v>
      </c>
      <c r="H75" s="39">
        <v>620</v>
      </c>
      <c r="I75" s="39" t="s">
        <v>561</v>
      </c>
      <c r="J75" s="40" t="s">
        <v>562</v>
      </c>
      <c r="K75" s="39" t="s">
        <v>262</v>
      </c>
      <c r="L75" s="39" t="s">
        <v>263</v>
      </c>
      <c r="M75" s="39">
        <v>4</v>
      </c>
      <c r="N75" s="39" t="s">
        <v>563</v>
      </c>
      <c r="O75" s="39" t="s">
        <v>392</v>
      </c>
      <c r="P75" s="39" t="s">
        <v>393</v>
      </c>
      <c r="Q75" s="39"/>
      <c r="R75" s="41"/>
      <c r="S75" s="39"/>
      <c r="T75" s="41" t="s">
        <v>564</v>
      </c>
      <c r="U75" s="40" t="s">
        <v>565</v>
      </c>
      <c r="V75" s="41" t="s">
        <v>566</v>
      </c>
      <c r="W75" s="40" t="s">
        <v>567</v>
      </c>
      <c r="X75" s="42"/>
      <c r="Y75" s="42" t="s">
        <v>267</v>
      </c>
      <c r="Z75" s="43"/>
      <c r="AA75" s="62" t="s">
        <v>568</v>
      </c>
      <c r="AB75" s="38" t="str">
        <f t="shared" si="1"/>
        <v>3D01000000</v>
      </c>
    </row>
    <row r="76" spans="4:28" ht="33" customHeight="1">
      <c r="D76" s="46" t="s">
        <v>559</v>
      </c>
      <c r="E76" s="46" t="s">
        <v>559</v>
      </c>
      <c r="F76" s="39">
        <v>60</v>
      </c>
      <c r="G76" s="39" t="s">
        <v>560</v>
      </c>
      <c r="H76" s="39">
        <v>630</v>
      </c>
      <c r="I76" s="39" t="s">
        <v>569</v>
      </c>
      <c r="J76" s="40" t="s">
        <v>562</v>
      </c>
      <c r="K76" s="39" t="s">
        <v>262</v>
      </c>
      <c r="L76" s="39" t="s">
        <v>263</v>
      </c>
      <c r="M76" s="39">
        <v>4</v>
      </c>
      <c r="N76" s="39" t="s">
        <v>563</v>
      </c>
      <c r="O76" s="39" t="s">
        <v>392</v>
      </c>
      <c r="P76" s="39" t="s">
        <v>393</v>
      </c>
      <c r="Q76" s="39"/>
      <c r="R76" s="41"/>
      <c r="S76" s="39"/>
      <c r="T76" s="41" t="s">
        <v>564</v>
      </c>
      <c r="U76" s="40" t="s">
        <v>565</v>
      </c>
      <c r="V76" s="41" t="s">
        <v>570</v>
      </c>
      <c r="W76" s="40" t="s">
        <v>571</v>
      </c>
      <c r="X76" s="42"/>
      <c r="Y76" s="42" t="s">
        <v>267</v>
      </c>
      <c r="Z76" s="43"/>
      <c r="AA76" s="64"/>
      <c r="AB76" s="38" t="str">
        <f t="shared" si="1"/>
        <v>3D01000000</v>
      </c>
    </row>
    <row r="77" spans="4:28" ht="33" customHeight="1">
      <c r="D77" s="46" t="s">
        <v>559</v>
      </c>
      <c r="E77" s="46" t="s">
        <v>559</v>
      </c>
      <c r="F77" s="39">
        <v>60</v>
      </c>
      <c r="G77" s="39" t="s">
        <v>560</v>
      </c>
      <c r="H77" s="39">
        <v>640</v>
      </c>
      <c r="I77" s="39" t="s">
        <v>572</v>
      </c>
      <c r="J77" s="40" t="s">
        <v>562</v>
      </c>
      <c r="K77" s="39" t="s">
        <v>262</v>
      </c>
      <c r="L77" s="39" t="s">
        <v>263</v>
      </c>
      <c r="M77" s="39">
        <v>4</v>
      </c>
      <c r="N77" s="39" t="s">
        <v>563</v>
      </c>
      <c r="O77" s="39" t="s">
        <v>392</v>
      </c>
      <c r="P77" s="39" t="s">
        <v>393</v>
      </c>
      <c r="Q77" s="39"/>
      <c r="R77" s="41"/>
      <c r="S77" s="39"/>
      <c r="T77" s="41" t="s">
        <v>564</v>
      </c>
      <c r="U77" s="40" t="s">
        <v>565</v>
      </c>
      <c r="V77" s="41" t="s">
        <v>573</v>
      </c>
      <c r="W77" s="40" t="s">
        <v>574</v>
      </c>
      <c r="X77" s="42"/>
      <c r="Y77" s="42" t="s">
        <v>267</v>
      </c>
      <c r="Z77" s="43"/>
      <c r="AA77" s="64"/>
      <c r="AB77" s="38" t="str">
        <f t="shared" si="1"/>
        <v>3D01000000</v>
      </c>
    </row>
    <row r="78" spans="4:28" ht="33" customHeight="1">
      <c r="D78" s="46" t="s">
        <v>559</v>
      </c>
      <c r="E78" s="46" t="s">
        <v>559</v>
      </c>
      <c r="F78" s="39">
        <v>60</v>
      </c>
      <c r="G78" s="39" t="s">
        <v>560</v>
      </c>
      <c r="H78" s="39">
        <v>650</v>
      </c>
      <c r="I78" s="39" t="s">
        <v>575</v>
      </c>
      <c r="J78" s="40" t="s">
        <v>562</v>
      </c>
      <c r="K78" s="39" t="s">
        <v>262</v>
      </c>
      <c r="L78" s="39" t="s">
        <v>263</v>
      </c>
      <c r="M78" s="39">
        <v>4</v>
      </c>
      <c r="N78" s="39" t="s">
        <v>563</v>
      </c>
      <c r="O78" s="39" t="s">
        <v>392</v>
      </c>
      <c r="P78" s="39" t="s">
        <v>393</v>
      </c>
      <c r="Q78" s="39"/>
      <c r="R78" s="41"/>
      <c r="S78" s="39"/>
      <c r="T78" s="41" t="s">
        <v>564</v>
      </c>
      <c r="U78" s="40" t="s">
        <v>565</v>
      </c>
      <c r="V78" s="41" t="s">
        <v>576</v>
      </c>
      <c r="W78" s="40" t="s">
        <v>577</v>
      </c>
      <c r="X78" s="42"/>
      <c r="Y78" s="42" t="s">
        <v>267</v>
      </c>
      <c r="Z78" s="43"/>
      <c r="AA78" s="63"/>
      <c r="AB78" s="38" t="str">
        <f t="shared" si="1"/>
        <v>3D01000000</v>
      </c>
    </row>
    <row r="79" spans="4:28" ht="33" customHeight="1">
      <c r="D79" s="46" t="s">
        <v>559</v>
      </c>
      <c r="E79" s="46" t="s">
        <v>559</v>
      </c>
      <c r="F79" s="39">
        <v>60</v>
      </c>
      <c r="G79" s="39" t="s">
        <v>560</v>
      </c>
      <c r="H79" s="39">
        <v>660</v>
      </c>
      <c r="I79" s="39" t="s">
        <v>578</v>
      </c>
      <c r="J79" s="40" t="s">
        <v>579</v>
      </c>
      <c r="K79" s="39" t="s">
        <v>262</v>
      </c>
      <c r="L79" s="39" t="s">
        <v>263</v>
      </c>
      <c r="M79" s="39">
        <v>4</v>
      </c>
      <c r="N79" s="39" t="s">
        <v>563</v>
      </c>
      <c r="O79" s="39" t="s">
        <v>392</v>
      </c>
      <c r="P79" s="39" t="s">
        <v>393</v>
      </c>
      <c r="Q79" s="39"/>
      <c r="R79" s="41"/>
      <c r="S79" s="39"/>
      <c r="T79" s="41" t="s">
        <v>564</v>
      </c>
      <c r="U79" s="40" t="s">
        <v>565</v>
      </c>
      <c r="V79" s="41" t="s">
        <v>566</v>
      </c>
      <c r="W79" s="40" t="s">
        <v>567</v>
      </c>
      <c r="X79" s="42"/>
      <c r="Y79" s="42" t="s">
        <v>267</v>
      </c>
      <c r="Z79" s="43"/>
      <c r="AA79" s="62" t="s">
        <v>580</v>
      </c>
      <c r="AB79" s="38" t="str">
        <f t="shared" si="1"/>
        <v>3D01012990</v>
      </c>
    </row>
    <row r="80" spans="4:28" ht="33" customHeight="1">
      <c r="D80" s="46" t="s">
        <v>559</v>
      </c>
      <c r="E80" s="46" t="s">
        <v>559</v>
      </c>
      <c r="F80" s="39">
        <v>60</v>
      </c>
      <c r="G80" s="39" t="s">
        <v>560</v>
      </c>
      <c r="H80" s="39">
        <v>670</v>
      </c>
      <c r="I80" s="39" t="s">
        <v>581</v>
      </c>
      <c r="J80" s="40" t="s">
        <v>579</v>
      </c>
      <c r="K80" s="39" t="s">
        <v>262</v>
      </c>
      <c r="L80" s="39" t="s">
        <v>263</v>
      </c>
      <c r="M80" s="39">
        <v>4</v>
      </c>
      <c r="N80" s="39" t="s">
        <v>563</v>
      </c>
      <c r="O80" s="39" t="s">
        <v>392</v>
      </c>
      <c r="P80" s="39" t="s">
        <v>393</v>
      </c>
      <c r="Q80" s="39"/>
      <c r="R80" s="41"/>
      <c r="S80" s="39"/>
      <c r="T80" s="41" t="s">
        <v>564</v>
      </c>
      <c r="U80" s="40" t="s">
        <v>565</v>
      </c>
      <c r="V80" s="41" t="s">
        <v>570</v>
      </c>
      <c r="W80" s="40" t="s">
        <v>571</v>
      </c>
      <c r="X80" s="42"/>
      <c r="Y80" s="42" t="s">
        <v>267</v>
      </c>
      <c r="Z80" s="43"/>
      <c r="AA80" s="64"/>
      <c r="AB80" s="38" t="str">
        <f t="shared" si="1"/>
        <v>3D01012990</v>
      </c>
    </row>
    <row r="81" spans="4:28" ht="33" customHeight="1">
      <c r="D81" s="46" t="s">
        <v>559</v>
      </c>
      <c r="E81" s="46" t="s">
        <v>559</v>
      </c>
      <c r="F81" s="39">
        <v>60</v>
      </c>
      <c r="G81" s="39" t="s">
        <v>560</v>
      </c>
      <c r="H81" s="39">
        <v>680</v>
      </c>
      <c r="I81" s="39" t="s">
        <v>582</v>
      </c>
      <c r="J81" s="40" t="s">
        <v>579</v>
      </c>
      <c r="K81" s="39" t="s">
        <v>262</v>
      </c>
      <c r="L81" s="39" t="s">
        <v>263</v>
      </c>
      <c r="M81" s="39">
        <v>4</v>
      </c>
      <c r="N81" s="39" t="s">
        <v>563</v>
      </c>
      <c r="O81" s="39" t="s">
        <v>392</v>
      </c>
      <c r="P81" s="39" t="s">
        <v>393</v>
      </c>
      <c r="Q81" s="39"/>
      <c r="R81" s="41"/>
      <c r="S81" s="39"/>
      <c r="T81" s="41" t="s">
        <v>564</v>
      </c>
      <c r="U81" s="40" t="s">
        <v>565</v>
      </c>
      <c r="V81" s="41" t="s">
        <v>573</v>
      </c>
      <c r="W81" s="40" t="s">
        <v>574</v>
      </c>
      <c r="X81" s="42"/>
      <c r="Y81" s="42" t="s">
        <v>267</v>
      </c>
      <c r="Z81" s="43"/>
      <c r="AA81" s="64"/>
      <c r="AB81" s="38" t="str">
        <f t="shared" si="1"/>
        <v>3D01012990</v>
      </c>
    </row>
    <row r="82" spans="4:28" ht="33" customHeight="1">
      <c r="D82" s="46" t="s">
        <v>559</v>
      </c>
      <c r="E82" s="46" t="s">
        <v>559</v>
      </c>
      <c r="F82" s="39">
        <v>60</v>
      </c>
      <c r="G82" s="39" t="s">
        <v>560</v>
      </c>
      <c r="H82" s="39">
        <v>690</v>
      </c>
      <c r="I82" s="39" t="s">
        <v>583</v>
      </c>
      <c r="J82" s="40" t="s">
        <v>579</v>
      </c>
      <c r="K82" s="39" t="s">
        <v>262</v>
      </c>
      <c r="L82" s="39" t="s">
        <v>263</v>
      </c>
      <c r="M82" s="39">
        <v>4</v>
      </c>
      <c r="N82" s="39" t="s">
        <v>563</v>
      </c>
      <c r="O82" s="39" t="s">
        <v>392</v>
      </c>
      <c r="P82" s="39" t="s">
        <v>393</v>
      </c>
      <c r="Q82" s="39"/>
      <c r="R82" s="41"/>
      <c r="S82" s="39"/>
      <c r="T82" s="41" t="s">
        <v>564</v>
      </c>
      <c r="U82" s="40" t="s">
        <v>565</v>
      </c>
      <c r="V82" s="41" t="s">
        <v>576</v>
      </c>
      <c r="W82" s="40" t="s">
        <v>577</v>
      </c>
      <c r="X82" s="42"/>
      <c r="Y82" s="42" t="s">
        <v>267</v>
      </c>
      <c r="Z82" s="43"/>
      <c r="AA82" s="63"/>
      <c r="AB82" s="38" t="str">
        <f t="shared" si="1"/>
        <v>3D01012990</v>
      </c>
    </row>
    <row r="83" spans="4:28" ht="33" customHeight="1">
      <c r="D83" s="46" t="s">
        <v>559</v>
      </c>
      <c r="E83" s="46" t="s">
        <v>559</v>
      </c>
      <c r="F83" s="39">
        <v>60</v>
      </c>
      <c r="G83" s="39" t="s">
        <v>560</v>
      </c>
      <c r="H83" s="39">
        <v>692</v>
      </c>
      <c r="I83" s="39" t="s">
        <v>584</v>
      </c>
      <c r="J83" s="40" t="s">
        <v>585</v>
      </c>
      <c r="K83" s="39" t="s">
        <v>262</v>
      </c>
      <c r="L83" s="39" t="s">
        <v>263</v>
      </c>
      <c r="M83" s="39">
        <v>4</v>
      </c>
      <c r="N83" s="39" t="s">
        <v>273</v>
      </c>
      <c r="O83" s="39" t="s">
        <v>297</v>
      </c>
      <c r="P83" s="39" t="s">
        <v>297</v>
      </c>
      <c r="Q83" s="39"/>
      <c r="R83" s="41"/>
      <c r="S83" s="39"/>
      <c r="T83" s="41" t="s">
        <v>586</v>
      </c>
      <c r="U83" s="40" t="s">
        <v>587</v>
      </c>
      <c r="V83" s="41" t="s">
        <v>588</v>
      </c>
      <c r="W83" s="40" t="s">
        <v>589</v>
      </c>
      <c r="X83" s="42"/>
      <c r="Y83" s="42" t="s">
        <v>267</v>
      </c>
      <c r="Z83" s="43" t="s">
        <v>590</v>
      </c>
      <c r="AA83" s="44"/>
      <c r="AB83" s="38" t="str">
        <f t="shared" si="1"/>
        <v>3D04600000</v>
      </c>
    </row>
    <row r="84" spans="4:28" ht="33" customHeight="1">
      <c r="D84" s="46" t="s">
        <v>559</v>
      </c>
      <c r="E84" s="46" t="s">
        <v>559</v>
      </c>
      <c r="F84" s="39">
        <v>60</v>
      </c>
      <c r="G84" s="39" t="s">
        <v>560</v>
      </c>
      <c r="H84" s="39">
        <v>694</v>
      </c>
      <c r="I84" s="39" t="s">
        <v>591</v>
      </c>
      <c r="J84" s="40" t="s">
        <v>585</v>
      </c>
      <c r="K84" s="39" t="s">
        <v>262</v>
      </c>
      <c r="L84" s="39" t="s">
        <v>263</v>
      </c>
      <c r="M84" s="39">
        <v>4</v>
      </c>
      <c r="N84" s="39" t="s">
        <v>273</v>
      </c>
      <c r="O84" s="39" t="s">
        <v>297</v>
      </c>
      <c r="P84" s="39" t="s">
        <v>297</v>
      </c>
      <c r="Q84" s="39"/>
      <c r="R84" s="41"/>
      <c r="S84" s="39"/>
      <c r="T84" s="41" t="s">
        <v>586</v>
      </c>
      <c r="U84" s="40" t="s">
        <v>587</v>
      </c>
      <c r="V84" s="41" t="s">
        <v>592</v>
      </c>
      <c r="W84" s="40" t="s">
        <v>593</v>
      </c>
      <c r="X84" s="42"/>
      <c r="Y84" s="42" t="s">
        <v>267</v>
      </c>
      <c r="Z84" s="43" t="s">
        <v>590</v>
      </c>
      <c r="AA84" s="44"/>
      <c r="AB84" s="38" t="str">
        <f t="shared" si="1"/>
        <v>3D04600000</v>
      </c>
    </row>
    <row r="85" spans="4:28" ht="33" customHeight="1">
      <c r="D85" s="46" t="s">
        <v>559</v>
      </c>
      <c r="E85" s="46" t="s">
        <v>559</v>
      </c>
      <c r="F85" s="39">
        <v>60</v>
      </c>
      <c r="G85" s="39" t="s">
        <v>560</v>
      </c>
      <c r="H85" s="39">
        <v>696</v>
      </c>
      <c r="I85" s="39" t="s">
        <v>594</v>
      </c>
      <c r="J85" s="40" t="s">
        <v>585</v>
      </c>
      <c r="K85" s="39" t="s">
        <v>262</v>
      </c>
      <c r="L85" s="39" t="s">
        <v>263</v>
      </c>
      <c r="M85" s="39">
        <v>4</v>
      </c>
      <c r="N85" s="39" t="s">
        <v>273</v>
      </c>
      <c r="O85" s="39" t="s">
        <v>297</v>
      </c>
      <c r="P85" s="39" t="s">
        <v>297</v>
      </c>
      <c r="Q85" s="39"/>
      <c r="R85" s="41"/>
      <c r="S85" s="39"/>
      <c r="T85" s="41" t="s">
        <v>586</v>
      </c>
      <c r="U85" s="40" t="s">
        <v>587</v>
      </c>
      <c r="V85" s="41" t="s">
        <v>595</v>
      </c>
      <c r="W85" s="40" t="s">
        <v>596</v>
      </c>
      <c r="X85" s="42"/>
      <c r="Y85" s="42" t="s">
        <v>267</v>
      </c>
      <c r="Z85" s="43" t="s">
        <v>590</v>
      </c>
      <c r="AA85" s="44"/>
      <c r="AB85" s="38" t="str">
        <f t="shared" si="1"/>
        <v>3D04600000</v>
      </c>
    </row>
    <row r="86" spans="4:28" ht="33" customHeight="1">
      <c r="D86" s="46" t="s">
        <v>559</v>
      </c>
      <c r="E86" s="46" t="s">
        <v>559</v>
      </c>
      <c r="F86" s="39">
        <v>60</v>
      </c>
      <c r="G86" s="39" t="s">
        <v>560</v>
      </c>
      <c r="H86" s="39">
        <v>698</v>
      </c>
      <c r="I86" s="39" t="s">
        <v>597</v>
      </c>
      <c r="J86" s="40" t="s">
        <v>585</v>
      </c>
      <c r="K86" s="39" t="s">
        <v>262</v>
      </c>
      <c r="L86" s="39" t="s">
        <v>263</v>
      </c>
      <c r="M86" s="39">
        <v>4</v>
      </c>
      <c r="N86" s="39" t="s">
        <v>273</v>
      </c>
      <c r="O86" s="39" t="s">
        <v>297</v>
      </c>
      <c r="P86" s="39" t="s">
        <v>297</v>
      </c>
      <c r="Q86" s="39"/>
      <c r="R86" s="41"/>
      <c r="S86" s="39"/>
      <c r="T86" s="41" t="s">
        <v>586</v>
      </c>
      <c r="U86" s="40" t="s">
        <v>587</v>
      </c>
      <c r="V86" s="41" t="s">
        <v>598</v>
      </c>
      <c r="W86" s="40" t="s">
        <v>577</v>
      </c>
      <c r="X86" s="42"/>
      <c r="Y86" s="42" t="s">
        <v>267</v>
      </c>
      <c r="Z86" s="43" t="s">
        <v>590</v>
      </c>
      <c r="AA86" s="44"/>
      <c r="AB86" s="38" t="str">
        <f t="shared" si="1"/>
        <v>3D04600000</v>
      </c>
    </row>
    <row r="87" spans="4:28" ht="33" customHeight="1">
      <c r="D87" s="46" t="s">
        <v>19</v>
      </c>
      <c r="E87" s="46" t="s">
        <v>19</v>
      </c>
      <c r="F87" s="39">
        <v>70</v>
      </c>
      <c r="G87" s="39" t="s">
        <v>599</v>
      </c>
      <c r="H87" s="39">
        <v>740</v>
      </c>
      <c r="I87" s="39" t="s">
        <v>600</v>
      </c>
      <c r="J87" s="40" t="s">
        <v>601</v>
      </c>
      <c r="K87" s="39" t="s">
        <v>307</v>
      </c>
      <c r="L87" s="39" t="s">
        <v>602</v>
      </c>
      <c r="M87" s="39">
        <v>1</v>
      </c>
      <c r="N87" s="39" t="s">
        <v>309</v>
      </c>
      <c r="O87" s="39"/>
      <c r="P87" s="39"/>
      <c r="Q87" s="39"/>
      <c r="R87" s="41"/>
      <c r="S87" s="39"/>
      <c r="T87" s="41" t="s">
        <v>603</v>
      </c>
      <c r="U87" s="40" t="s">
        <v>601</v>
      </c>
      <c r="V87" s="41" t="s">
        <v>604</v>
      </c>
      <c r="W87" s="40" t="s">
        <v>605</v>
      </c>
      <c r="X87" s="42" t="s">
        <v>606</v>
      </c>
      <c r="Y87" s="42" t="s">
        <v>267</v>
      </c>
      <c r="Z87" s="43"/>
      <c r="AA87" s="62" t="s">
        <v>607</v>
      </c>
      <c r="AB87" s="38" t="str">
        <f t="shared" si="1"/>
        <v>1A02000000</v>
      </c>
    </row>
    <row r="88" spans="4:28" ht="33" customHeight="1">
      <c r="D88" s="46" t="s">
        <v>19</v>
      </c>
      <c r="E88" s="46" t="s">
        <v>19</v>
      </c>
      <c r="F88" s="39">
        <v>70</v>
      </c>
      <c r="G88" s="39" t="s">
        <v>599</v>
      </c>
      <c r="H88" s="39">
        <v>750</v>
      </c>
      <c r="I88" s="39" t="s">
        <v>608</v>
      </c>
      <c r="J88" s="40" t="s">
        <v>601</v>
      </c>
      <c r="K88" s="39" t="s">
        <v>307</v>
      </c>
      <c r="L88" s="39" t="s">
        <v>602</v>
      </c>
      <c r="M88" s="39">
        <v>1</v>
      </c>
      <c r="N88" s="39" t="s">
        <v>309</v>
      </c>
      <c r="O88" s="39"/>
      <c r="P88" s="39"/>
      <c r="Q88" s="39"/>
      <c r="R88" s="41"/>
      <c r="S88" s="39"/>
      <c r="T88" s="41" t="s">
        <v>603</v>
      </c>
      <c r="U88" s="40" t="s">
        <v>601</v>
      </c>
      <c r="V88" s="41" t="s">
        <v>609</v>
      </c>
      <c r="W88" s="40" t="s">
        <v>610</v>
      </c>
      <c r="X88" s="42" t="s">
        <v>606</v>
      </c>
      <c r="Y88" s="42" t="s">
        <v>267</v>
      </c>
      <c r="Z88" s="43"/>
      <c r="AA88" s="63"/>
      <c r="AB88" s="38" t="str">
        <f t="shared" si="1"/>
        <v>1A02000000</v>
      </c>
    </row>
    <row r="89" spans="4:28" ht="33" customHeight="1">
      <c r="D89" s="46" t="s">
        <v>19</v>
      </c>
      <c r="E89" s="46" t="s">
        <v>19</v>
      </c>
      <c r="F89" s="39">
        <v>70</v>
      </c>
      <c r="G89" s="39" t="s">
        <v>599</v>
      </c>
      <c r="H89" s="39">
        <v>760</v>
      </c>
      <c r="I89" s="39" t="s">
        <v>611</v>
      </c>
      <c r="J89" s="40" t="s">
        <v>612</v>
      </c>
      <c r="K89" s="39" t="s">
        <v>307</v>
      </c>
      <c r="L89" s="39" t="s">
        <v>602</v>
      </c>
      <c r="M89" s="39">
        <v>1</v>
      </c>
      <c r="N89" s="39" t="s">
        <v>309</v>
      </c>
      <c r="O89" s="39"/>
      <c r="P89" s="39"/>
      <c r="Q89" s="39"/>
      <c r="R89" s="41"/>
      <c r="S89" s="39"/>
      <c r="T89" s="41" t="s">
        <v>613</v>
      </c>
      <c r="U89" s="40" t="s">
        <v>612</v>
      </c>
      <c r="V89" s="41" t="s">
        <v>614</v>
      </c>
      <c r="W89" s="40" t="s">
        <v>605</v>
      </c>
      <c r="X89" s="42" t="s">
        <v>606</v>
      </c>
      <c r="Y89" s="42" t="s">
        <v>267</v>
      </c>
      <c r="Z89" s="43"/>
      <c r="AA89" s="62" t="s">
        <v>607</v>
      </c>
      <c r="AB89" s="38" t="str">
        <f t="shared" si="1"/>
        <v>1A01000000</v>
      </c>
    </row>
    <row r="90" spans="4:28" ht="33" customHeight="1">
      <c r="D90" s="46" t="s">
        <v>19</v>
      </c>
      <c r="E90" s="46" t="s">
        <v>19</v>
      </c>
      <c r="F90" s="39">
        <v>70</v>
      </c>
      <c r="G90" s="39" t="s">
        <v>599</v>
      </c>
      <c r="H90" s="39">
        <v>770</v>
      </c>
      <c r="I90" s="39" t="s">
        <v>615</v>
      </c>
      <c r="J90" s="40" t="s">
        <v>612</v>
      </c>
      <c r="K90" s="39" t="s">
        <v>307</v>
      </c>
      <c r="L90" s="39" t="s">
        <v>602</v>
      </c>
      <c r="M90" s="39">
        <v>1</v>
      </c>
      <c r="N90" s="39" t="s">
        <v>309</v>
      </c>
      <c r="O90" s="39"/>
      <c r="P90" s="39"/>
      <c r="Q90" s="39"/>
      <c r="R90" s="41"/>
      <c r="S90" s="39"/>
      <c r="T90" s="41" t="s">
        <v>613</v>
      </c>
      <c r="U90" s="40" t="s">
        <v>612</v>
      </c>
      <c r="V90" s="41" t="s">
        <v>616</v>
      </c>
      <c r="W90" s="40" t="s">
        <v>610</v>
      </c>
      <c r="X90" s="42" t="s">
        <v>606</v>
      </c>
      <c r="Y90" s="42" t="s">
        <v>267</v>
      </c>
      <c r="Z90" s="43"/>
      <c r="AA90" s="63"/>
      <c r="AB90" s="38" t="str">
        <f t="shared" si="1"/>
        <v>1A01000000</v>
      </c>
    </row>
    <row r="91" spans="4:28" ht="33" customHeight="1">
      <c r="D91" s="39"/>
      <c r="E91" s="45"/>
      <c r="F91" s="39">
        <v>70</v>
      </c>
      <c r="G91" s="39" t="s">
        <v>599</v>
      </c>
      <c r="H91" s="39">
        <v>780</v>
      </c>
      <c r="I91" s="39" t="s">
        <v>617</v>
      </c>
      <c r="J91" s="40" t="s">
        <v>618</v>
      </c>
      <c r="K91" s="39" t="s">
        <v>307</v>
      </c>
      <c r="L91" s="39" t="s">
        <v>602</v>
      </c>
      <c r="M91" s="39">
        <v>1</v>
      </c>
      <c r="N91" s="39" t="s">
        <v>309</v>
      </c>
      <c r="O91" s="39"/>
      <c r="P91" s="39"/>
      <c r="Q91" s="39"/>
      <c r="R91" s="41"/>
      <c r="S91" s="39"/>
      <c r="T91" s="41" t="s">
        <v>619</v>
      </c>
      <c r="U91" s="40" t="s">
        <v>618</v>
      </c>
      <c r="V91" s="41" t="s">
        <v>620</v>
      </c>
      <c r="W91" s="40" t="s">
        <v>605</v>
      </c>
      <c r="X91" s="42" t="s">
        <v>606</v>
      </c>
      <c r="Y91" s="42" t="s">
        <v>267</v>
      </c>
      <c r="Z91" s="43"/>
      <c r="AA91" s="62" t="s">
        <v>607</v>
      </c>
      <c r="AB91" s="38" t="str">
        <f t="shared" si="1"/>
        <v>1A10000000</v>
      </c>
    </row>
    <row r="92" spans="4:28" ht="33" customHeight="1">
      <c r="D92" s="39"/>
      <c r="E92" s="45"/>
      <c r="F92" s="39">
        <v>70</v>
      </c>
      <c r="G92" s="39" t="s">
        <v>599</v>
      </c>
      <c r="H92" s="39">
        <v>790</v>
      </c>
      <c r="I92" s="39" t="s">
        <v>621</v>
      </c>
      <c r="J92" s="40" t="s">
        <v>618</v>
      </c>
      <c r="K92" s="39" t="s">
        <v>307</v>
      </c>
      <c r="L92" s="39" t="s">
        <v>602</v>
      </c>
      <c r="M92" s="39">
        <v>1</v>
      </c>
      <c r="N92" s="39" t="s">
        <v>309</v>
      </c>
      <c r="O92" s="39"/>
      <c r="P92" s="39"/>
      <c r="Q92" s="39"/>
      <c r="R92" s="41"/>
      <c r="S92" s="39"/>
      <c r="T92" s="41" t="s">
        <v>619</v>
      </c>
      <c r="U92" s="40" t="s">
        <v>618</v>
      </c>
      <c r="V92" s="41" t="s">
        <v>622</v>
      </c>
      <c r="W92" s="40" t="s">
        <v>610</v>
      </c>
      <c r="X92" s="42" t="s">
        <v>606</v>
      </c>
      <c r="Y92" s="42" t="s">
        <v>267</v>
      </c>
      <c r="Z92" s="43"/>
      <c r="AA92" s="63"/>
      <c r="AB92" s="38" t="str">
        <f t="shared" si="1"/>
        <v>1A10000000</v>
      </c>
    </row>
    <row r="93" spans="4:28" ht="33" customHeight="1">
      <c r="D93" s="39"/>
      <c r="E93" s="45"/>
      <c r="F93" s="39">
        <v>70</v>
      </c>
      <c r="G93" s="39" t="s">
        <v>599</v>
      </c>
      <c r="H93" s="39">
        <v>800</v>
      </c>
      <c r="I93" s="39" t="s">
        <v>623</v>
      </c>
      <c r="J93" s="40" t="s">
        <v>624</v>
      </c>
      <c r="K93" s="39" t="s">
        <v>307</v>
      </c>
      <c r="L93" s="39" t="s">
        <v>308</v>
      </c>
      <c r="M93" s="39">
        <v>1</v>
      </c>
      <c r="N93" s="39" t="s">
        <v>309</v>
      </c>
      <c r="O93" s="39"/>
      <c r="P93" s="39"/>
      <c r="Q93" s="39"/>
      <c r="R93" s="41"/>
      <c r="S93" s="39"/>
      <c r="T93" s="41" t="s">
        <v>625</v>
      </c>
      <c r="U93" s="40" t="s">
        <v>626</v>
      </c>
      <c r="V93" s="41"/>
      <c r="W93" s="40"/>
      <c r="X93" s="42" t="s">
        <v>627</v>
      </c>
      <c r="Y93" s="42" t="s">
        <v>267</v>
      </c>
      <c r="Z93" s="43"/>
      <c r="AA93" s="44" t="s">
        <v>628</v>
      </c>
      <c r="AB93" s="38" t="str">
        <f t="shared" si="1"/>
        <v>1A10516070</v>
      </c>
    </row>
    <row r="94" spans="4:28" ht="33" customHeight="1">
      <c r="D94" s="39"/>
      <c r="E94" s="45"/>
      <c r="F94" s="39">
        <v>70</v>
      </c>
      <c r="G94" s="39" t="s">
        <v>599</v>
      </c>
      <c r="H94" s="39">
        <v>810</v>
      </c>
      <c r="I94" s="39" t="s">
        <v>629</v>
      </c>
      <c r="J94" s="40" t="s">
        <v>630</v>
      </c>
      <c r="K94" s="39" t="s">
        <v>302</v>
      </c>
      <c r="L94" s="39" t="s">
        <v>303</v>
      </c>
      <c r="M94" s="39">
        <v>256</v>
      </c>
      <c r="N94" s="39"/>
      <c r="O94" s="39"/>
      <c r="P94" s="39"/>
      <c r="Q94" s="39"/>
      <c r="R94" s="41"/>
      <c r="S94" s="39"/>
      <c r="T94" s="41" t="s">
        <v>625</v>
      </c>
      <c r="U94" s="40" t="s">
        <v>626</v>
      </c>
      <c r="V94" s="41"/>
      <c r="W94" s="40"/>
      <c r="X94" s="42"/>
      <c r="Y94" s="42" t="s">
        <v>267</v>
      </c>
      <c r="Z94" s="43"/>
      <c r="AA94" s="44" t="s">
        <v>631</v>
      </c>
      <c r="AB94" s="38" t="str">
        <f t="shared" si="1"/>
        <v>1A10516080</v>
      </c>
    </row>
    <row r="95" spans="4:28" ht="33" customHeight="1">
      <c r="D95" s="39"/>
      <c r="E95" s="45"/>
      <c r="F95" s="39">
        <v>70</v>
      </c>
      <c r="G95" s="39" t="s">
        <v>599</v>
      </c>
      <c r="H95" s="39">
        <v>820</v>
      </c>
      <c r="I95" s="39" t="s">
        <v>632</v>
      </c>
      <c r="J95" s="40" t="s">
        <v>633</v>
      </c>
      <c r="K95" s="39" t="s">
        <v>262</v>
      </c>
      <c r="L95" s="39" t="s">
        <v>263</v>
      </c>
      <c r="M95" s="39">
        <v>5</v>
      </c>
      <c r="N95" s="39" t="s">
        <v>634</v>
      </c>
      <c r="O95" s="39"/>
      <c r="P95" s="39"/>
      <c r="Q95" s="39"/>
      <c r="R95" s="41"/>
      <c r="S95" s="39"/>
      <c r="T95" s="41" t="s">
        <v>635</v>
      </c>
      <c r="U95" s="40" t="s">
        <v>633</v>
      </c>
      <c r="V95" s="41" t="s">
        <v>636</v>
      </c>
      <c r="W95" s="40" t="s">
        <v>637</v>
      </c>
      <c r="X95" s="42"/>
      <c r="Y95" s="42" t="s">
        <v>267</v>
      </c>
      <c r="Z95" s="43"/>
      <c r="AA95" s="44"/>
      <c r="AB95" s="38" t="str">
        <f t="shared" si="1"/>
        <v>1A03000000</v>
      </c>
    </row>
    <row r="96" spans="4:28" ht="33" customHeight="1">
      <c r="D96" s="39"/>
      <c r="E96" s="45"/>
      <c r="F96" s="39">
        <v>70</v>
      </c>
      <c r="G96" s="39" t="s">
        <v>599</v>
      </c>
      <c r="H96" s="39">
        <v>830</v>
      </c>
      <c r="I96" s="39" t="s">
        <v>638</v>
      </c>
      <c r="J96" s="40" t="s">
        <v>633</v>
      </c>
      <c r="K96" s="39" t="s">
        <v>262</v>
      </c>
      <c r="L96" s="39" t="s">
        <v>263</v>
      </c>
      <c r="M96" s="39">
        <v>5</v>
      </c>
      <c r="N96" s="39" t="s">
        <v>634</v>
      </c>
      <c r="O96" s="39"/>
      <c r="P96" s="39"/>
      <c r="Q96" s="39"/>
      <c r="R96" s="41"/>
      <c r="S96" s="39"/>
      <c r="T96" s="41" t="s">
        <v>635</v>
      </c>
      <c r="U96" s="40" t="s">
        <v>633</v>
      </c>
      <c r="V96" s="41" t="s">
        <v>639</v>
      </c>
      <c r="W96" s="40" t="s">
        <v>457</v>
      </c>
      <c r="X96" s="42"/>
      <c r="Y96" s="42" t="s">
        <v>267</v>
      </c>
      <c r="Z96" s="43"/>
      <c r="AA96" s="44"/>
      <c r="AB96" s="38" t="str">
        <f t="shared" si="1"/>
        <v>1A03000000</v>
      </c>
    </row>
    <row r="97" spans="4:28" ht="33" customHeight="1">
      <c r="D97" s="39"/>
      <c r="E97" s="45"/>
      <c r="F97" s="39">
        <v>70</v>
      </c>
      <c r="G97" s="39" t="s">
        <v>599</v>
      </c>
      <c r="H97" s="39">
        <v>831</v>
      </c>
      <c r="I97" s="39" t="s">
        <v>640</v>
      </c>
      <c r="J97" s="40" t="s">
        <v>641</v>
      </c>
      <c r="K97" s="39" t="s">
        <v>262</v>
      </c>
      <c r="L97" s="39" t="s">
        <v>263</v>
      </c>
      <c r="M97" s="39">
        <v>7</v>
      </c>
      <c r="N97" s="39" t="s">
        <v>642</v>
      </c>
      <c r="O97" s="39" t="s">
        <v>643</v>
      </c>
      <c r="P97" s="39" t="s">
        <v>643</v>
      </c>
      <c r="Q97" s="39"/>
      <c r="R97" s="41"/>
      <c r="S97" s="39"/>
      <c r="T97" s="41" t="s">
        <v>540</v>
      </c>
      <c r="U97" s="40" t="s">
        <v>644</v>
      </c>
      <c r="V97" s="41" t="s">
        <v>541</v>
      </c>
      <c r="W97" s="40" t="s">
        <v>645</v>
      </c>
      <c r="X97" s="42"/>
      <c r="Y97" s="42" t="s">
        <v>267</v>
      </c>
      <c r="Z97" s="43" t="s">
        <v>444</v>
      </c>
      <c r="AA97" s="44"/>
      <c r="AB97" s="38" t="str">
        <f t="shared" si="1"/>
        <v>3A01500000</v>
      </c>
    </row>
    <row r="98" spans="4:28" ht="33" customHeight="1">
      <c r="D98" s="39"/>
      <c r="E98" s="45"/>
      <c r="F98" s="39">
        <v>70</v>
      </c>
      <c r="G98" s="39" t="s">
        <v>599</v>
      </c>
      <c r="H98" s="39">
        <v>832</v>
      </c>
      <c r="I98" s="39" t="s">
        <v>646</v>
      </c>
      <c r="J98" s="40" t="s">
        <v>641</v>
      </c>
      <c r="K98" s="39" t="s">
        <v>262</v>
      </c>
      <c r="L98" s="39" t="s">
        <v>263</v>
      </c>
      <c r="M98" s="39">
        <v>7</v>
      </c>
      <c r="N98" s="39" t="s">
        <v>642</v>
      </c>
      <c r="O98" s="39" t="s">
        <v>643</v>
      </c>
      <c r="P98" s="39" t="s">
        <v>643</v>
      </c>
      <c r="Q98" s="39"/>
      <c r="R98" s="41"/>
      <c r="S98" s="39"/>
      <c r="T98" s="41" t="s">
        <v>540</v>
      </c>
      <c r="U98" s="40" t="s">
        <v>644</v>
      </c>
      <c r="V98" s="41" t="s">
        <v>647</v>
      </c>
      <c r="W98" s="40" t="s">
        <v>648</v>
      </c>
      <c r="X98" s="42"/>
      <c r="Y98" s="42" t="s">
        <v>267</v>
      </c>
      <c r="Z98" s="43" t="s">
        <v>444</v>
      </c>
      <c r="AA98" s="44"/>
      <c r="AB98" s="38" t="str">
        <f t="shared" si="1"/>
        <v>3A01500000</v>
      </c>
    </row>
    <row r="99" spans="4:28" ht="33" customHeight="1">
      <c r="D99" s="39"/>
      <c r="E99" s="45"/>
      <c r="F99" s="39">
        <v>70</v>
      </c>
      <c r="G99" s="39" t="s">
        <v>599</v>
      </c>
      <c r="H99" s="39">
        <v>833</v>
      </c>
      <c r="I99" s="39" t="s">
        <v>649</v>
      </c>
      <c r="J99" s="40" t="s">
        <v>641</v>
      </c>
      <c r="K99" s="39" t="s">
        <v>262</v>
      </c>
      <c r="L99" s="39" t="s">
        <v>263</v>
      </c>
      <c r="M99" s="39">
        <v>7</v>
      </c>
      <c r="N99" s="39" t="s">
        <v>642</v>
      </c>
      <c r="O99" s="39" t="s">
        <v>643</v>
      </c>
      <c r="P99" s="39" t="s">
        <v>643</v>
      </c>
      <c r="Q99" s="39"/>
      <c r="R99" s="41"/>
      <c r="S99" s="39"/>
      <c r="T99" s="41" t="s">
        <v>540</v>
      </c>
      <c r="U99" s="40" t="s">
        <v>644</v>
      </c>
      <c r="V99" s="41" t="s">
        <v>650</v>
      </c>
      <c r="W99" s="40" t="s">
        <v>651</v>
      </c>
      <c r="X99" s="42"/>
      <c r="Y99" s="42" t="s">
        <v>267</v>
      </c>
      <c r="Z99" s="43" t="s">
        <v>444</v>
      </c>
      <c r="AA99" s="44"/>
      <c r="AB99" s="38" t="str">
        <f t="shared" si="1"/>
        <v>3A01500000</v>
      </c>
    </row>
    <row r="100" spans="4:28" ht="33" customHeight="1">
      <c r="D100" s="39"/>
      <c r="E100" s="45"/>
      <c r="F100" s="39">
        <v>70</v>
      </c>
      <c r="G100" s="39" t="s">
        <v>599</v>
      </c>
      <c r="H100" s="39">
        <v>834</v>
      </c>
      <c r="I100" s="39" t="s">
        <v>652</v>
      </c>
      <c r="J100" s="40" t="s">
        <v>641</v>
      </c>
      <c r="K100" s="39" t="s">
        <v>262</v>
      </c>
      <c r="L100" s="39" t="s">
        <v>263</v>
      </c>
      <c r="M100" s="39">
        <v>7</v>
      </c>
      <c r="N100" s="39" t="s">
        <v>642</v>
      </c>
      <c r="O100" s="39" t="s">
        <v>643</v>
      </c>
      <c r="P100" s="39" t="s">
        <v>643</v>
      </c>
      <c r="Q100" s="39"/>
      <c r="R100" s="41"/>
      <c r="S100" s="39"/>
      <c r="T100" s="41" t="s">
        <v>540</v>
      </c>
      <c r="U100" s="40" t="s">
        <v>644</v>
      </c>
      <c r="V100" s="41" t="s">
        <v>653</v>
      </c>
      <c r="W100" s="40" t="s">
        <v>654</v>
      </c>
      <c r="X100" s="42"/>
      <c r="Y100" s="42" t="s">
        <v>267</v>
      </c>
      <c r="Z100" s="43" t="s">
        <v>444</v>
      </c>
      <c r="AA100" s="44"/>
      <c r="AB100" s="38" t="str">
        <f t="shared" si="1"/>
        <v>3A01500000</v>
      </c>
    </row>
    <row r="101" spans="4:28" ht="33" customHeight="1">
      <c r="D101" s="39"/>
      <c r="E101" s="45"/>
      <c r="F101" s="39">
        <v>70</v>
      </c>
      <c r="G101" s="39" t="s">
        <v>599</v>
      </c>
      <c r="H101" s="39">
        <v>835</v>
      </c>
      <c r="I101" s="39" t="s">
        <v>655</v>
      </c>
      <c r="J101" s="40" t="s">
        <v>656</v>
      </c>
      <c r="K101" s="39" t="s">
        <v>262</v>
      </c>
      <c r="L101" s="39" t="s">
        <v>263</v>
      </c>
      <c r="M101" s="39">
        <v>7</v>
      </c>
      <c r="N101" s="39" t="s">
        <v>642</v>
      </c>
      <c r="O101" s="39" t="s">
        <v>657</v>
      </c>
      <c r="P101" s="39" t="s">
        <v>658</v>
      </c>
      <c r="Q101" s="39"/>
      <c r="R101" s="41"/>
      <c r="S101" s="39"/>
      <c r="T101" s="41" t="s">
        <v>540</v>
      </c>
      <c r="U101" s="40" t="s">
        <v>644</v>
      </c>
      <c r="V101" s="41" t="s">
        <v>659</v>
      </c>
      <c r="W101" s="40" t="s">
        <v>660</v>
      </c>
      <c r="X101" s="42"/>
      <c r="Y101" s="42" t="s">
        <v>267</v>
      </c>
      <c r="Z101" s="43" t="s">
        <v>444</v>
      </c>
      <c r="AA101" s="44"/>
      <c r="AB101" s="38" t="str">
        <f t="shared" si="1"/>
        <v>3A01500000</v>
      </c>
    </row>
    <row r="102" spans="4:28" ht="33" customHeight="1">
      <c r="D102" s="39"/>
      <c r="E102" s="45"/>
      <c r="F102" s="39">
        <v>70</v>
      </c>
      <c r="G102" s="39" t="s">
        <v>599</v>
      </c>
      <c r="H102" s="39">
        <v>836</v>
      </c>
      <c r="I102" s="39" t="s">
        <v>661</v>
      </c>
      <c r="J102" s="40" t="s">
        <v>656</v>
      </c>
      <c r="K102" s="39" t="s">
        <v>262</v>
      </c>
      <c r="L102" s="39" t="s">
        <v>263</v>
      </c>
      <c r="M102" s="39">
        <v>7</v>
      </c>
      <c r="N102" s="39" t="s">
        <v>642</v>
      </c>
      <c r="O102" s="39" t="s">
        <v>657</v>
      </c>
      <c r="P102" s="39" t="s">
        <v>658</v>
      </c>
      <c r="Q102" s="39"/>
      <c r="R102" s="41"/>
      <c r="S102" s="39"/>
      <c r="T102" s="41" t="s">
        <v>540</v>
      </c>
      <c r="U102" s="40" t="s">
        <v>644</v>
      </c>
      <c r="V102" s="41" t="s">
        <v>662</v>
      </c>
      <c r="W102" s="40" t="s">
        <v>457</v>
      </c>
      <c r="X102" s="42"/>
      <c r="Y102" s="42" t="s">
        <v>267</v>
      </c>
      <c r="Z102" s="43" t="s">
        <v>444</v>
      </c>
      <c r="AA102" s="44"/>
      <c r="AB102" s="38" t="str">
        <f t="shared" si="1"/>
        <v>3A01500000</v>
      </c>
    </row>
    <row r="103" spans="4:28" ht="33" customHeight="1">
      <c r="D103" s="39"/>
      <c r="E103" s="45"/>
      <c r="F103" s="39">
        <v>70</v>
      </c>
      <c r="G103" s="39" t="s">
        <v>599</v>
      </c>
      <c r="H103" s="39">
        <v>837</v>
      </c>
      <c r="I103" s="39" t="s">
        <v>663</v>
      </c>
      <c r="J103" s="40" t="s">
        <v>664</v>
      </c>
      <c r="K103" s="39" t="s">
        <v>262</v>
      </c>
      <c r="L103" s="39" t="s">
        <v>263</v>
      </c>
      <c r="M103" s="39">
        <v>7</v>
      </c>
      <c r="N103" s="39" t="s">
        <v>642</v>
      </c>
      <c r="O103" s="39" t="s">
        <v>665</v>
      </c>
      <c r="P103" s="39" t="s">
        <v>665</v>
      </c>
      <c r="Q103" s="39"/>
      <c r="R103" s="41"/>
      <c r="S103" s="39"/>
      <c r="T103" s="41" t="s">
        <v>540</v>
      </c>
      <c r="U103" s="40" t="s">
        <v>644</v>
      </c>
      <c r="V103" s="41" t="s">
        <v>666</v>
      </c>
      <c r="W103" s="40" t="s">
        <v>660</v>
      </c>
      <c r="X103" s="42"/>
      <c r="Y103" s="42" t="s">
        <v>267</v>
      </c>
      <c r="Z103" s="43" t="s">
        <v>444</v>
      </c>
      <c r="AA103" s="44"/>
      <c r="AB103" s="38" t="str">
        <f t="shared" si="1"/>
        <v>3A01500000</v>
      </c>
    </row>
    <row r="104" spans="4:28" ht="33" customHeight="1">
      <c r="D104" s="39"/>
      <c r="E104" s="45"/>
      <c r="F104" s="39">
        <v>70</v>
      </c>
      <c r="G104" s="39" t="s">
        <v>599</v>
      </c>
      <c r="H104" s="39">
        <v>838</v>
      </c>
      <c r="I104" s="39" t="s">
        <v>667</v>
      </c>
      <c r="J104" s="40" t="s">
        <v>664</v>
      </c>
      <c r="K104" s="39" t="s">
        <v>262</v>
      </c>
      <c r="L104" s="39" t="s">
        <v>263</v>
      </c>
      <c r="M104" s="39">
        <v>7</v>
      </c>
      <c r="N104" s="39" t="s">
        <v>642</v>
      </c>
      <c r="O104" s="39" t="s">
        <v>665</v>
      </c>
      <c r="P104" s="39" t="s">
        <v>665</v>
      </c>
      <c r="Q104" s="39"/>
      <c r="R104" s="41"/>
      <c r="S104" s="39"/>
      <c r="T104" s="41" t="s">
        <v>540</v>
      </c>
      <c r="U104" s="40" t="s">
        <v>644</v>
      </c>
      <c r="V104" s="41" t="s">
        <v>668</v>
      </c>
      <c r="W104" s="40" t="s">
        <v>457</v>
      </c>
      <c r="X104" s="42"/>
      <c r="Y104" s="42" t="s">
        <v>267</v>
      </c>
      <c r="Z104" s="43" t="s">
        <v>444</v>
      </c>
      <c r="AA104" s="44"/>
      <c r="AB104" s="38" t="str">
        <f t="shared" si="1"/>
        <v>3A01500000</v>
      </c>
    </row>
    <row r="105" spans="4:28" ht="33" customHeight="1">
      <c r="D105" s="39" t="s">
        <v>498</v>
      </c>
      <c r="E105" s="39" t="s">
        <v>499</v>
      </c>
      <c r="F105" s="39">
        <v>80</v>
      </c>
      <c r="G105" s="39" t="s">
        <v>669</v>
      </c>
      <c r="H105" s="39">
        <v>840</v>
      </c>
      <c r="I105" s="39" t="s">
        <v>670</v>
      </c>
      <c r="J105" s="40" t="s">
        <v>671</v>
      </c>
      <c r="K105" s="39" t="s">
        <v>262</v>
      </c>
      <c r="L105" s="39" t="s">
        <v>263</v>
      </c>
      <c r="M105" s="39">
        <v>4</v>
      </c>
      <c r="N105" s="39" t="s">
        <v>273</v>
      </c>
      <c r="O105" s="39" t="s">
        <v>297</v>
      </c>
      <c r="P105" s="39" t="s">
        <v>297</v>
      </c>
      <c r="Q105" s="39"/>
      <c r="R105" s="41" t="s">
        <v>672</v>
      </c>
      <c r="S105" s="39" t="s">
        <v>504</v>
      </c>
      <c r="T105" s="41" t="s">
        <v>673</v>
      </c>
      <c r="U105" s="40" t="s">
        <v>671</v>
      </c>
      <c r="V105" s="41"/>
      <c r="W105" s="40" t="s">
        <v>674</v>
      </c>
      <c r="X105" s="42"/>
      <c r="Y105" s="42" t="s">
        <v>267</v>
      </c>
      <c r="Z105" s="43"/>
      <c r="AA105" s="44"/>
      <c r="AB105" s="38" t="str">
        <f t="shared" si="1"/>
        <v>2A04000000</v>
      </c>
    </row>
    <row r="106" spans="4:28" ht="33" customHeight="1">
      <c r="D106" s="39" t="s">
        <v>498</v>
      </c>
      <c r="E106" s="39" t="s">
        <v>499</v>
      </c>
      <c r="F106" s="39">
        <v>80</v>
      </c>
      <c r="G106" s="39" t="s">
        <v>669</v>
      </c>
      <c r="H106" s="39">
        <v>850</v>
      </c>
      <c r="I106" s="39" t="s">
        <v>675</v>
      </c>
      <c r="J106" s="40" t="s">
        <v>676</v>
      </c>
      <c r="K106" s="39" t="s">
        <v>262</v>
      </c>
      <c r="L106" s="39" t="s">
        <v>263</v>
      </c>
      <c r="M106" s="39">
        <v>4</v>
      </c>
      <c r="N106" s="39" t="s">
        <v>273</v>
      </c>
      <c r="O106" s="39" t="s">
        <v>531</v>
      </c>
      <c r="P106" s="39" t="s">
        <v>532</v>
      </c>
      <c r="Q106" s="39"/>
      <c r="R106" s="41" t="s">
        <v>672</v>
      </c>
      <c r="S106" s="39" t="s">
        <v>504</v>
      </c>
      <c r="T106" s="41" t="s">
        <v>677</v>
      </c>
      <c r="U106" s="40" t="s">
        <v>678</v>
      </c>
      <c r="V106" s="41"/>
      <c r="W106" s="40" t="s">
        <v>674</v>
      </c>
      <c r="X106" s="42"/>
      <c r="Y106" s="42" t="s">
        <v>267</v>
      </c>
      <c r="Z106" s="43"/>
      <c r="AA106" s="44"/>
      <c r="AB106" s="38" t="str">
        <f t="shared" si="1"/>
        <v>2A03000000</v>
      </c>
    </row>
    <row r="107" spans="4:28" ht="33" customHeight="1">
      <c r="D107" s="39" t="s">
        <v>498</v>
      </c>
      <c r="E107" s="39" t="s">
        <v>499</v>
      </c>
      <c r="F107" s="39">
        <v>80</v>
      </c>
      <c r="G107" s="39" t="s">
        <v>669</v>
      </c>
      <c r="H107" s="39">
        <v>860</v>
      </c>
      <c r="I107" s="39" t="s">
        <v>679</v>
      </c>
      <c r="J107" s="40" t="s">
        <v>680</v>
      </c>
      <c r="K107" s="39" t="s">
        <v>262</v>
      </c>
      <c r="L107" s="39" t="s">
        <v>263</v>
      </c>
      <c r="M107" s="39">
        <v>4</v>
      </c>
      <c r="N107" s="39" t="s">
        <v>563</v>
      </c>
      <c r="O107" s="39" t="s">
        <v>681</v>
      </c>
      <c r="P107" s="39" t="s">
        <v>682</v>
      </c>
      <c r="Q107" s="39"/>
      <c r="R107" s="41" t="s">
        <v>672</v>
      </c>
      <c r="S107" s="39" t="s">
        <v>504</v>
      </c>
      <c r="T107" s="41" t="s">
        <v>683</v>
      </c>
      <c r="U107" s="40" t="s">
        <v>680</v>
      </c>
      <c r="V107" s="41"/>
      <c r="W107" s="40" t="s">
        <v>674</v>
      </c>
      <c r="X107" s="42"/>
      <c r="Y107" s="42" t="s">
        <v>267</v>
      </c>
      <c r="Z107" s="43"/>
      <c r="AA107" s="44"/>
      <c r="AB107" s="38" t="str">
        <f t="shared" si="1"/>
        <v>2A02000000</v>
      </c>
    </row>
    <row r="108" spans="4:28" ht="33" customHeight="1">
      <c r="D108" s="39" t="s">
        <v>498</v>
      </c>
      <c r="E108" s="39" t="s">
        <v>499</v>
      </c>
      <c r="F108" s="39">
        <v>80</v>
      </c>
      <c r="G108" s="39" t="s">
        <v>669</v>
      </c>
      <c r="H108" s="39">
        <v>870</v>
      </c>
      <c r="I108" s="39" t="s">
        <v>672</v>
      </c>
      <c r="J108" s="40" t="s">
        <v>684</v>
      </c>
      <c r="K108" s="39" t="s">
        <v>302</v>
      </c>
      <c r="L108" s="39" t="s">
        <v>303</v>
      </c>
      <c r="M108" s="39">
        <v>256</v>
      </c>
      <c r="N108" s="39"/>
      <c r="O108" s="39"/>
      <c r="P108" s="39"/>
      <c r="Q108" s="39"/>
      <c r="R108" s="41" t="s">
        <v>672</v>
      </c>
      <c r="S108" s="39" t="s">
        <v>512</v>
      </c>
      <c r="T108" s="41" t="s">
        <v>685</v>
      </c>
      <c r="U108" s="40" t="s">
        <v>686</v>
      </c>
      <c r="V108" s="41"/>
      <c r="W108" s="40"/>
      <c r="X108" s="42"/>
      <c r="Y108" s="42" t="s">
        <v>267</v>
      </c>
      <c r="Z108" s="43"/>
      <c r="AA108" s="44" t="s">
        <v>687</v>
      </c>
      <c r="AB108" s="38" t="str">
        <f t="shared" si="1"/>
        <v>2A02016100</v>
      </c>
    </row>
    <row r="109" spans="4:28" ht="33" customHeight="1">
      <c r="D109" s="39"/>
      <c r="E109" s="45"/>
      <c r="F109" s="39">
        <v>80</v>
      </c>
      <c r="G109" s="39" t="s">
        <v>669</v>
      </c>
      <c r="H109" s="39">
        <v>880</v>
      </c>
      <c r="I109" s="39" t="s">
        <v>688</v>
      </c>
      <c r="J109" s="40" t="s">
        <v>689</v>
      </c>
      <c r="K109" s="39" t="s">
        <v>262</v>
      </c>
      <c r="L109" s="39" t="s">
        <v>263</v>
      </c>
      <c r="M109" s="39">
        <v>5</v>
      </c>
      <c r="N109" s="39" t="s">
        <v>264</v>
      </c>
      <c r="O109" s="39" t="s">
        <v>690</v>
      </c>
      <c r="P109" s="39" t="s">
        <v>691</v>
      </c>
      <c r="Q109" s="39"/>
      <c r="R109" s="41" t="s">
        <v>672</v>
      </c>
      <c r="S109" s="39" t="s">
        <v>504</v>
      </c>
      <c r="T109" s="41" t="s">
        <v>692</v>
      </c>
      <c r="U109" s="40" t="s">
        <v>693</v>
      </c>
      <c r="V109" s="41"/>
      <c r="W109" s="40" t="s">
        <v>674</v>
      </c>
      <c r="X109" s="42"/>
      <c r="Y109" s="42" t="s">
        <v>267</v>
      </c>
      <c r="Z109" s="43"/>
      <c r="AA109" s="44"/>
      <c r="AB109" s="38" t="str">
        <f t="shared" si="1"/>
        <v>2A06000000</v>
      </c>
    </row>
    <row r="110" spans="4:28" ht="33" customHeight="1">
      <c r="D110" s="39"/>
      <c r="E110" s="45"/>
      <c r="F110" s="39">
        <v>80</v>
      </c>
      <c r="G110" s="39" t="s">
        <v>669</v>
      </c>
      <c r="H110" s="39">
        <v>890</v>
      </c>
      <c r="I110" s="39" t="s">
        <v>694</v>
      </c>
      <c r="J110" s="40" t="s">
        <v>695</v>
      </c>
      <c r="K110" s="39" t="s">
        <v>262</v>
      </c>
      <c r="L110" s="39" t="s">
        <v>263</v>
      </c>
      <c r="M110" s="39">
        <v>5</v>
      </c>
      <c r="N110" s="39" t="s">
        <v>264</v>
      </c>
      <c r="O110" s="39" t="s">
        <v>696</v>
      </c>
      <c r="P110" s="39" t="s">
        <v>696</v>
      </c>
      <c r="Q110" s="39"/>
      <c r="R110" s="41" t="s">
        <v>672</v>
      </c>
      <c r="S110" s="39" t="s">
        <v>504</v>
      </c>
      <c r="T110" s="41" t="s">
        <v>697</v>
      </c>
      <c r="U110" s="40" t="s">
        <v>698</v>
      </c>
      <c r="V110" s="41"/>
      <c r="W110" s="40" t="s">
        <v>674</v>
      </c>
      <c r="X110" s="42"/>
      <c r="Y110" s="42" t="s">
        <v>267</v>
      </c>
      <c r="Z110" s="43"/>
      <c r="AA110" s="44"/>
      <c r="AB110" s="38" t="str">
        <f t="shared" si="1"/>
        <v>2A07000000</v>
      </c>
    </row>
    <row r="111" spans="4:28" ht="33" customHeight="1">
      <c r="D111" s="39"/>
      <c r="E111" s="45"/>
      <c r="F111" s="39">
        <v>80</v>
      </c>
      <c r="G111" s="39" t="s">
        <v>669</v>
      </c>
      <c r="H111" s="39">
        <v>900</v>
      </c>
      <c r="I111" s="39" t="s">
        <v>699</v>
      </c>
      <c r="J111" s="40" t="s">
        <v>700</v>
      </c>
      <c r="K111" s="39" t="s">
        <v>262</v>
      </c>
      <c r="L111" s="39" t="s">
        <v>263</v>
      </c>
      <c r="M111" s="39">
        <v>5</v>
      </c>
      <c r="N111" s="39" t="s">
        <v>264</v>
      </c>
      <c r="O111" s="39" t="s">
        <v>297</v>
      </c>
      <c r="P111" s="39" t="s">
        <v>297</v>
      </c>
      <c r="Q111" s="39"/>
      <c r="R111" s="41" t="s">
        <v>672</v>
      </c>
      <c r="S111" s="39" t="s">
        <v>504</v>
      </c>
      <c r="T111" s="41" t="s">
        <v>701</v>
      </c>
      <c r="U111" s="40" t="s">
        <v>702</v>
      </c>
      <c r="V111" s="41"/>
      <c r="W111" s="40" t="s">
        <v>674</v>
      </c>
      <c r="X111" s="42"/>
      <c r="Y111" s="42" t="s">
        <v>267</v>
      </c>
      <c r="Z111" s="43"/>
      <c r="AA111" s="44"/>
      <c r="AB111" s="38" t="str">
        <f t="shared" si="1"/>
        <v>2A08000000</v>
      </c>
    </row>
    <row r="112" spans="4:28" ht="33" customHeight="1">
      <c r="D112" s="39"/>
      <c r="E112" s="45"/>
      <c r="F112" s="39">
        <v>80</v>
      </c>
      <c r="G112" s="39" t="s">
        <v>669</v>
      </c>
      <c r="H112" s="39">
        <v>910</v>
      </c>
      <c r="I112" s="39" t="s">
        <v>703</v>
      </c>
      <c r="J112" s="40" t="s">
        <v>704</v>
      </c>
      <c r="K112" s="39" t="s">
        <v>262</v>
      </c>
      <c r="L112" s="39" t="s">
        <v>263</v>
      </c>
      <c r="M112" s="39">
        <v>7</v>
      </c>
      <c r="N112" s="39" t="s">
        <v>705</v>
      </c>
      <c r="O112" s="39" t="s">
        <v>706</v>
      </c>
      <c r="P112" s="39" t="s">
        <v>706</v>
      </c>
      <c r="Q112" s="39"/>
      <c r="R112" s="41" t="s">
        <v>672</v>
      </c>
      <c r="S112" s="39" t="s">
        <v>504</v>
      </c>
      <c r="T112" s="41" t="s">
        <v>707</v>
      </c>
      <c r="U112" s="40" t="s">
        <v>704</v>
      </c>
      <c r="V112" s="41"/>
      <c r="W112" s="40" t="s">
        <v>674</v>
      </c>
      <c r="X112" s="42"/>
      <c r="Y112" s="42" t="s">
        <v>267</v>
      </c>
      <c r="Z112" s="43"/>
      <c r="AA112" s="44"/>
      <c r="AB112" s="38" t="str">
        <f t="shared" si="1"/>
        <v>2A01000000</v>
      </c>
    </row>
    <row r="113" spans="4:28" ht="33" customHeight="1">
      <c r="D113" s="39"/>
      <c r="E113" s="45"/>
      <c r="F113" s="39">
        <v>80</v>
      </c>
      <c r="G113" s="39" t="s">
        <v>669</v>
      </c>
      <c r="H113" s="39">
        <v>920</v>
      </c>
      <c r="I113" s="39" t="s">
        <v>708</v>
      </c>
      <c r="J113" s="40" t="s">
        <v>709</v>
      </c>
      <c r="K113" s="39" t="s">
        <v>262</v>
      </c>
      <c r="L113" s="39" t="s">
        <v>263</v>
      </c>
      <c r="M113" s="39">
        <v>3</v>
      </c>
      <c r="N113" s="39" t="s">
        <v>349</v>
      </c>
      <c r="O113" s="39" t="s">
        <v>681</v>
      </c>
      <c r="P113" s="39" t="s">
        <v>682</v>
      </c>
      <c r="Q113" s="39"/>
      <c r="R113" s="41" t="s">
        <v>672</v>
      </c>
      <c r="S113" s="39" t="s">
        <v>504</v>
      </c>
      <c r="T113" s="41" t="s">
        <v>710</v>
      </c>
      <c r="U113" s="40" t="s">
        <v>709</v>
      </c>
      <c r="V113" s="41"/>
      <c r="W113" s="40" t="s">
        <v>674</v>
      </c>
      <c r="X113" s="42"/>
      <c r="Y113" s="42" t="s">
        <v>267</v>
      </c>
      <c r="Z113" s="43"/>
      <c r="AA113" s="44"/>
      <c r="AB113" s="38" t="str">
        <f t="shared" si="1"/>
        <v>2A05000000</v>
      </c>
    </row>
    <row r="114" spans="4:28" ht="33" customHeight="1">
      <c r="D114" s="39" t="s">
        <v>498</v>
      </c>
      <c r="E114" s="39" t="s">
        <v>499</v>
      </c>
      <c r="F114" s="39">
        <v>200</v>
      </c>
      <c r="G114" s="39" t="s">
        <v>711</v>
      </c>
      <c r="H114" s="39">
        <v>930</v>
      </c>
      <c r="I114" s="39" t="s">
        <v>712</v>
      </c>
      <c r="J114" s="40" t="s">
        <v>713</v>
      </c>
      <c r="K114" s="39" t="s">
        <v>307</v>
      </c>
      <c r="L114" s="39" t="s">
        <v>308</v>
      </c>
      <c r="M114" s="39">
        <v>1</v>
      </c>
      <c r="N114" s="39" t="s">
        <v>309</v>
      </c>
      <c r="O114" s="39"/>
      <c r="P114" s="39"/>
      <c r="Q114" s="39"/>
      <c r="R114" s="41" t="s">
        <v>714</v>
      </c>
      <c r="S114" s="39" t="s">
        <v>504</v>
      </c>
      <c r="T114" s="41" t="s">
        <v>715</v>
      </c>
      <c r="U114" s="40" t="s">
        <v>716</v>
      </c>
      <c r="V114" s="41"/>
      <c r="W114" s="40"/>
      <c r="X114" s="42" t="s">
        <v>627</v>
      </c>
      <c r="Y114" s="42" t="s">
        <v>267</v>
      </c>
      <c r="Z114" s="43"/>
      <c r="AA114" s="44" t="s">
        <v>628</v>
      </c>
      <c r="AB114" s="38" t="str">
        <f t="shared" si="1"/>
        <v>9A11016070</v>
      </c>
    </row>
    <row r="115" spans="4:28" ht="33" customHeight="1">
      <c r="D115" s="39" t="s">
        <v>498</v>
      </c>
      <c r="E115" s="39" t="s">
        <v>499</v>
      </c>
      <c r="F115" s="39">
        <v>200</v>
      </c>
      <c r="G115" s="39" t="s">
        <v>711</v>
      </c>
      <c r="H115" s="39">
        <v>940</v>
      </c>
      <c r="I115" s="39" t="s">
        <v>717</v>
      </c>
      <c r="J115" s="40" t="s">
        <v>718</v>
      </c>
      <c r="K115" s="39" t="s">
        <v>302</v>
      </c>
      <c r="L115" s="39" t="s">
        <v>303</v>
      </c>
      <c r="M115" s="39">
        <v>256</v>
      </c>
      <c r="N115" s="39"/>
      <c r="O115" s="39"/>
      <c r="P115" s="39"/>
      <c r="Q115" s="39"/>
      <c r="R115" s="41" t="s">
        <v>714</v>
      </c>
      <c r="S115" s="39" t="s">
        <v>504</v>
      </c>
      <c r="T115" s="41" t="s">
        <v>715</v>
      </c>
      <c r="U115" s="40" t="s">
        <v>716</v>
      </c>
      <c r="V115" s="41"/>
      <c r="W115" s="40"/>
      <c r="X115" s="42"/>
      <c r="Y115" s="42" t="s">
        <v>267</v>
      </c>
      <c r="Z115" s="43"/>
      <c r="AA115" s="44" t="s">
        <v>631</v>
      </c>
      <c r="AB115" s="38" t="str">
        <f t="shared" si="1"/>
        <v>9A11016080</v>
      </c>
    </row>
    <row r="116" spans="4:28" ht="93.75" customHeight="1">
      <c r="D116" s="39" t="s">
        <v>498</v>
      </c>
      <c r="E116" s="39" t="s">
        <v>499</v>
      </c>
      <c r="F116" s="39">
        <v>200</v>
      </c>
      <c r="G116" s="39" t="s">
        <v>711</v>
      </c>
      <c r="H116" s="39">
        <v>945</v>
      </c>
      <c r="I116" s="39" t="s">
        <v>719</v>
      </c>
      <c r="J116" s="40" t="s">
        <v>720</v>
      </c>
      <c r="K116" s="39" t="s">
        <v>307</v>
      </c>
      <c r="L116" s="39" t="s">
        <v>308</v>
      </c>
      <c r="M116" s="39">
        <v>1</v>
      </c>
      <c r="N116" s="39" t="s">
        <v>309</v>
      </c>
      <c r="O116" s="39"/>
      <c r="P116" s="39"/>
      <c r="Q116" s="39"/>
      <c r="R116" s="41" t="s">
        <v>714</v>
      </c>
      <c r="S116" s="39" t="s">
        <v>512</v>
      </c>
      <c r="T116" s="41" t="s">
        <v>715</v>
      </c>
      <c r="U116" s="40" t="s">
        <v>716</v>
      </c>
      <c r="V116" s="41"/>
      <c r="W116" s="40"/>
      <c r="X116" s="42" t="s">
        <v>721</v>
      </c>
      <c r="Y116" s="42" t="s">
        <v>267</v>
      </c>
      <c r="Z116" s="43" t="s">
        <v>444</v>
      </c>
      <c r="AA116" s="44" t="s">
        <v>722</v>
      </c>
      <c r="AB116" s="38" t="str">
        <f t="shared" si="1"/>
        <v>9A11016160</v>
      </c>
    </row>
    <row r="117" spans="4:28" ht="33" customHeight="1">
      <c r="D117" s="39" t="s">
        <v>498</v>
      </c>
      <c r="E117" s="39" t="s">
        <v>499</v>
      </c>
      <c r="F117" s="39">
        <v>200</v>
      </c>
      <c r="G117" s="39" t="s">
        <v>711</v>
      </c>
      <c r="H117" s="39">
        <v>950</v>
      </c>
      <c r="I117" s="39" t="s">
        <v>714</v>
      </c>
      <c r="J117" s="40" t="s">
        <v>723</v>
      </c>
      <c r="K117" s="39" t="s">
        <v>302</v>
      </c>
      <c r="L117" s="39" t="s">
        <v>303</v>
      </c>
      <c r="M117" s="39">
        <v>256</v>
      </c>
      <c r="N117" s="39"/>
      <c r="O117" s="39"/>
      <c r="P117" s="39"/>
      <c r="Q117" s="39"/>
      <c r="R117" s="41" t="s">
        <v>714</v>
      </c>
      <c r="S117" s="39" t="s">
        <v>512</v>
      </c>
      <c r="T117" s="41" t="s">
        <v>715</v>
      </c>
      <c r="U117" s="40" t="s">
        <v>716</v>
      </c>
      <c r="V117" s="41"/>
      <c r="W117" s="40"/>
      <c r="X117" s="42"/>
      <c r="Y117" s="42" t="s">
        <v>267</v>
      </c>
      <c r="Z117" s="43"/>
      <c r="AA117" s="44" t="s">
        <v>724</v>
      </c>
      <c r="AB117" s="38" t="str">
        <f t="shared" si="1"/>
        <v>9A11016100</v>
      </c>
    </row>
    <row r="118" spans="4:28" ht="33" customHeight="1">
      <c r="D118" s="39"/>
      <c r="E118" s="45"/>
      <c r="F118" s="39">
        <v>200</v>
      </c>
      <c r="G118" s="39" t="s">
        <v>711</v>
      </c>
      <c r="H118" s="39">
        <v>960</v>
      </c>
      <c r="I118" s="39" t="s">
        <v>725</v>
      </c>
      <c r="J118" s="40" t="s">
        <v>726</v>
      </c>
      <c r="K118" s="39" t="s">
        <v>307</v>
      </c>
      <c r="L118" s="39" t="s">
        <v>602</v>
      </c>
      <c r="M118" s="39">
        <v>1</v>
      </c>
      <c r="N118" s="39" t="s">
        <v>309</v>
      </c>
      <c r="O118" s="39"/>
      <c r="P118" s="39"/>
      <c r="Q118" s="39"/>
      <c r="R118" s="41" t="s">
        <v>727</v>
      </c>
      <c r="S118" s="39" t="s">
        <v>504</v>
      </c>
      <c r="T118" s="41" t="s">
        <v>728</v>
      </c>
      <c r="U118" s="40" t="s">
        <v>729</v>
      </c>
      <c r="V118" s="41" t="s">
        <v>730</v>
      </c>
      <c r="W118" s="40" t="s">
        <v>731</v>
      </c>
      <c r="X118" s="42" t="s">
        <v>732</v>
      </c>
      <c r="Y118" s="42" t="s">
        <v>267</v>
      </c>
      <c r="Z118" s="43"/>
      <c r="AA118" s="44" t="s">
        <v>733</v>
      </c>
      <c r="AB118" s="38" t="str">
        <f t="shared" si="1"/>
        <v>9N20100000</v>
      </c>
    </row>
    <row r="119" spans="4:28" ht="33" customHeight="1">
      <c r="D119" s="39"/>
      <c r="E119" s="45"/>
      <c r="F119" s="39">
        <v>200</v>
      </c>
      <c r="G119" s="39" t="s">
        <v>711</v>
      </c>
      <c r="H119" s="39">
        <v>970</v>
      </c>
      <c r="I119" s="39" t="s">
        <v>734</v>
      </c>
      <c r="J119" s="40" t="s">
        <v>735</v>
      </c>
      <c r="K119" s="39" t="s">
        <v>307</v>
      </c>
      <c r="L119" s="39" t="s">
        <v>308</v>
      </c>
      <c r="M119" s="39">
        <v>1</v>
      </c>
      <c r="N119" s="39" t="s">
        <v>309</v>
      </c>
      <c r="O119" s="39"/>
      <c r="P119" s="39"/>
      <c r="Q119" s="39"/>
      <c r="R119" s="41" t="s">
        <v>727</v>
      </c>
      <c r="S119" s="39" t="s">
        <v>504</v>
      </c>
      <c r="T119" s="41" t="s">
        <v>736</v>
      </c>
      <c r="U119" s="40" t="s">
        <v>737</v>
      </c>
      <c r="V119" s="41" t="s">
        <v>738</v>
      </c>
      <c r="W119" s="40" t="s">
        <v>731</v>
      </c>
      <c r="X119" s="42" t="s">
        <v>627</v>
      </c>
      <c r="Y119" s="42" t="s">
        <v>267</v>
      </c>
      <c r="Z119" s="43"/>
      <c r="AA119" s="44" t="s">
        <v>739</v>
      </c>
      <c r="AB119" s="38" t="str">
        <f t="shared" si="1"/>
        <v>9N20616070</v>
      </c>
    </row>
    <row r="120" spans="4:28" ht="33" customHeight="1">
      <c r="D120" s="39"/>
      <c r="E120" s="45"/>
      <c r="F120" s="39">
        <v>200</v>
      </c>
      <c r="G120" s="39" t="s">
        <v>711</v>
      </c>
      <c r="H120" s="39">
        <v>980</v>
      </c>
      <c r="I120" s="39" t="s">
        <v>740</v>
      </c>
      <c r="J120" s="40" t="s">
        <v>741</v>
      </c>
      <c r="K120" s="39" t="s">
        <v>302</v>
      </c>
      <c r="L120" s="39" t="s">
        <v>303</v>
      </c>
      <c r="M120" s="39">
        <v>256</v>
      </c>
      <c r="N120" s="39"/>
      <c r="O120" s="39"/>
      <c r="P120" s="39"/>
      <c r="Q120" s="39"/>
      <c r="R120" s="41" t="s">
        <v>727</v>
      </c>
      <c r="S120" s="39" t="s">
        <v>504</v>
      </c>
      <c r="T120" s="41" t="s">
        <v>736</v>
      </c>
      <c r="U120" s="40" t="s">
        <v>737</v>
      </c>
      <c r="V120" s="41" t="s">
        <v>738</v>
      </c>
      <c r="W120" s="40" t="s">
        <v>731</v>
      </c>
      <c r="X120" s="42"/>
      <c r="Y120" s="42" t="s">
        <v>267</v>
      </c>
      <c r="Z120" s="43"/>
      <c r="AA120" s="44" t="s">
        <v>631</v>
      </c>
      <c r="AB120" s="38" t="str">
        <f t="shared" si="1"/>
        <v>9N20616080</v>
      </c>
    </row>
    <row r="121" spans="4:28" ht="33" customHeight="1">
      <c r="D121" s="39"/>
      <c r="E121" s="45"/>
      <c r="F121" s="39">
        <v>200</v>
      </c>
      <c r="G121" s="39" t="s">
        <v>711</v>
      </c>
      <c r="H121" s="39">
        <v>990</v>
      </c>
      <c r="I121" s="39" t="s">
        <v>727</v>
      </c>
      <c r="J121" s="40" t="s">
        <v>742</v>
      </c>
      <c r="K121" s="39" t="s">
        <v>743</v>
      </c>
      <c r="L121" s="39" t="s">
        <v>303</v>
      </c>
      <c r="M121" s="39">
        <v>8</v>
      </c>
      <c r="N121" s="39"/>
      <c r="O121" s="39"/>
      <c r="P121" s="39"/>
      <c r="Q121" s="39"/>
      <c r="R121" s="41" t="s">
        <v>727</v>
      </c>
      <c r="S121" s="39" t="s">
        <v>504</v>
      </c>
      <c r="T121" s="41" t="s">
        <v>744</v>
      </c>
      <c r="U121" s="40" t="s">
        <v>745</v>
      </c>
      <c r="V121" s="41" t="s">
        <v>746</v>
      </c>
      <c r="W121" s="40" t="s">
        <v>731</v>
      </c>
      <c r="X121" s="42"/>
      <c r="Y121" s="42" t="s">
        <v>267</v>
      </c>
      <c r="Z121" s="43"/>
      <c r="AA121" s="44" t="s">
        <v>747</v>
      </c>
      <c r="AB121" s="38" t="str">
        <f t="shared" si="1"/>
        <v>9N21116110</v>
      </c>
    </row>
    <row r="122" spans="4:28" ht="33" customHeight="1">
      <c r="D122" s="39"/>
      <c r="E122" s="45"/>
      <c r="F122" s="39">
        <v>200</v>
      </c>
      <c r="G122" s="39" t="s">
        <v>711</v>
      </c>
      <c r="H122" s="39">
        <v>1000</v>
      </c>
      <c r="I122" s="39" t="s">
        <v>748</v>
      </c>
      <c r="J122" s="40" t="s">
        <v>749</v>
      </c>
      <c r="K122" s="39" t="s">
        <v>302</v>
      </c>
      <c r="L122" s="39" t="s">
        <v>303</v>
      </c>
      <c r="M122" s="39">
        <v>64</v>
      </c>
      <c r="N122" s="39"/>
      <c r="O122" s="39"/>
      <c r="P122" s="39"/>
      <c r="Q122" s="39"/>
      <c r="R122" s="41" t="s">
        <v>727</v>
      </c>
      <c r="S122" s="39" t="s">
        <v>504</v>
      </c>
      <c r="T122" s="41" t="s">
        <v>744</v>
      </c>
      <c r="U122" s="40" t="s">
        <v>745</v>
      </c>
      <c r="V122" s="41" t="s">
        <v>746</v>
      </c>
      <c r="W122" s="40" t="s">
        <v>731</v>
      </c>
      <c r="X122" s="42"/>
      <c r="Y122" s="42" t="s">
        <v>267</v>
      </c>
      <c r="Z122" s="43"/>
      <c r="AA122" s="44"/>
      <c r="AB122" s="38" t="str">
        <f t="shared" si="1"/>
        <v>9N21116120</v>
      </c>
    </row>
    <row r="123" spans="4:28" ht="33" customHeight="1">
      <c r="D123" s="39"/>
      <c r="E123" s="45"/>
      <c r="F123" s="39">
        <v>200</v>
      </c>
      <c r="G123" s="39" t="s">
        <v>711</v>
      </c>
      <c r="H123" s="39">
        <v>1010</v>
      </c>
      <c r="I123" s="39" t="s">
        <v>750</v>
      </c>
      <c r="J123" s="40" t="s">
        <v>751</v>
      </c>
      <c r="K123" s="39" t="s">
        <v>307</v>
      </c>
      <c r="L123" s="39" t="s">
        <v>602</v>
      </c>
      <c r="M123" s="39">
        <v>1</v>
      </c>
      <c r="N123" s="39" t="s">
        <v>309</v>
      </c>
      <c r="O123" s="39"/>
      <c r="P123" s="39"/>
      <c r="Q123" s="39"/>
      <c r="R123" s="41" t="s">
        <v>752</v>
      </c>
      <c r="S123" s="39" t="s">
        <v>504</v>
      </c>
      <c r="T123" s="41" t="s">
        <v>753</v>
      </c>
      <c r="U123" s="40" t="s">
        <v>754</v>
      </c>
      <c r="V123" s="41" t="s">
        <v>755</v>
      </c>
      <c r="W123" s="40" t="s">
        <v>756</v>
      </c>
      <c r="X123" s="42" t="s">
        <v>732</v>
      </c>
      <c r="Y123" s="42" t="s">
        <v>267</v>
      </c>
      <c r="Z123" s="43"/>
      <c r="AA123" s="44" t="s">
        <v>733</v>
      </c>
      <c r="AB123" s="38" t="str">
        <f t="shared" si="1"/>
        <v>9N21600000</v>
      </c>
    </row>
    <row r="124" spans="4:28" ht="33" customHeight="1">
      <c r="D124" s="39"/>
      <c r="E124" s="45"/>
      <c r="F124" s="39">
        <v>200</v>
      </c>
      <c r="G124" s="39" t="s">
        <v>711</v>
      </c>
      <c r="H124" s="39">
        <v>1020</v>
      </c>
      <c r="I124" s="39" t="s">
        <v>757</v>
      </c>
      <c r="J124" s="40" t="s">
        <v>758</v>
      </c>
      <c r="K124" s="39" t="s">
        <v>307</v>
      </c>
      <c r="L124" s="39" t="s">
        <v>308</v>
      </c>
      <c r="M124" s="39">
        <v>1</v>
      </c>
      <c r="N124" s="39" t="s">
        <v>309</v>
      </c>
      <c r="O124" s="39"/>
      <c r="P124" s="39"/>
      <c r="Q124" s="39"/>
      <c r="R124" s="41" t="s">
        <v>752</v>
      </c>
      <c r="S124" s="39" t="s">
        <v>504</v>
      </c>
      <c r="T124" s="41" t="s">
        <v>759</v>
      </c>
      <c r="U124" s="40" t="s">
        <v>760</v>
      </c>
      <c r="V124" s="41" t="s">
        <v>761</v>
      </c>
      <c r="W124" s="40" t="s">
        <v>756</v>
      </c>
      <c r="X124" s="42" t="s">
        <v>627</v>
      </c>
      <c r="Y124" s="42" t="s">
        <v>267</v>
      </c>
      <c r="Z124" s="43"/>
      <c r="AA124" s="44" t="s">
        <v>762</v>
      </c>
      <c r="AB124" s="38" t="str">
        <f t="shared" si="1"/>
        <v>9N22116070</v>
      </c>
    </row>
    <row r="125" spans="4:28" ht="33" customHeight="1">
      <c r="D125" s="39"/>
      <c r="E125" s="45"/>
      <c r="F125" s="39">
        <v>200</v>
      </c>
      <c r="G125" s="39" t="s">
        <v>711</v>
      </c>
      <c r="H125" s="39">
        <v>1030</v>
      </c>
      <c r="I125" s="39" t="s">
        <v>763</v>
      </c>
      <c r="J125" s="40" t="s">
        <v>764</v>
      </c>
      <c r="K125" s="39" t="s">
        <v>302</v>
      </c>
      <c r="L125" s="39" t="s">
        <v>303</v>
      </c>
      <c r="M125" s="39">
        <v>256</v>
      </c>
      <c r="N125" s="39"/>
      <c r="O125" s="39"/>
      <c r="P125" s="39"/>
      <c r="Q125" s="39"/>
      <c r="R125" s="41" t="s">
        <v>752</v>
      </c>
      <c r="S125" s="39" t="s">
        <v>504</v>
      </c>
      <c r="T125" s="41" t="s">
        <v>759</v>
      </c>
      <c r="U125" s="40" t="s">
        <v>760</v>
      </c>
      <c r="V125" s="41" t="s">
        <v>761</v>
      </c>
      <c r="W125" s="40" t="s">
        <v>756</v>
      </c>
      <c r="X125" s="42"/>
      <c r="Y125" s="42" t="s">
        <v>267</v>
      </c>
      <c r="Z125" s="43"/>
      <c r="AA125" s="44" t="s">
        <v>631</v>
      </c>
      <c r="AB125" s="38" t="str">
        <f t="shared" si="1"/>
        <v>9N22116080</v>
      </c>
    </row>
    <row r="126" spans="4:28" ht="33" customHeight="1">
      <c r="D126" s="39"/>
      <c r="E126" s="45"/>
      <c r="F126" s="39">
        <v>200</v>
      </c>
      <c r="G126" s="39" t="s">
        <v>711</v>
      </c>
      <c r="H126" s="39">
        <v>1040</v>
      </c>
      <c r="I126" s="39" t="s">
        <v>752</v>
      </c>
      <c r="J126" s="40" t="s">
        <v>765</v>
      </c>
      <c r="K126" s="39" t="s">
        <v>743</v>
      </c>
      <c r="L126" s="39" t="s">
        <v>303</v>
      </c>
      <c r="M126" s="39">
        <v>8</v>
      </c>
      <c r="N126" s="39"/>
      <c r="O126" s="39"/>
      <c r="P126" s="39"/>
      <c r="Q126" s="39"/>
      <c r="R126" s="41" t="s">
        <v>752</v>
      </c>
      <c r="S126" s="39" t="s">
        <v>504</v>
      </c>
      <c r="T126" s="41" t="s">
        <v>766</v>
      </c>
      <c r="U126" s="40" t="s">
        <v>767</v>
      </c>
      <c r="V126" s="41" t="s">
        <v>768</v>
      </c>
      <c r="W126" s="40" t="s">
        <v>756</v>
      </c>
      <c r="X126" s="42"/>
      <c r="Y126" s="42" t="s">
        <v>267</v>
      </c>
      <c r="Z126" s="43"/>
      <c r="AA126" s="44" t="s">
        <v>747</v>
      </c>
      <c r="AB126" s="38" t="str">
        <f t="shared" si="1"/>
        <v>9N22616110</v>
      </c>
    </row>
    <row r="127" spans="4:28" ht="33" customHeight="1">
      <c r="D127" s="39"/>
      <c r="E127" s="45"/>
      <c r="F127" s="39">
        <v>200</v>
      </c>
      <c r="G127" s="39" t="s">
        <v>711</v>
      </c>
      <c r="H127" s="39">
        <v>1050</v>
      </c>
      <c r="I127" s="39" t="s">
        <v>769</v>
      </c>
      <c r="J127" s="40" t="s">
        <v>770</v>
      </c>
      <c r="K127" s="39" t="s">
        <v>302</v>
      </c>
      <c r="L127" s="39" t="s">
        <v>303</v>
      </c>
      <c r="M127" s="39">
        <v>64</v>
      </c>
      <c r="N127" s="39"/>
      <c r="O127" s="39"/>
      <c r="P127" s="39"/>
      <c r="Q127" s="39"/>
      <c r="R127" s="41" t="s">
        <v>752</v>
      </c>
      <c r="S127" s="39" t="s">
        <v>504</v>
      </c>
      <c r="T127" s="41" t="s">
        <v>766</v>
      </c>
      <c r="U127" s="40" t="s">
        <v>767</v>
      </c>
      <c r="V127" s="41" t="s">
        <v>768</v>
      </c>
      <c r="W127" s="40" t="s">
        <v>756</v>
      </c>
      <c r="X127" s="42"/>
      <c r="Y127" s="42" t="s">
        <v>267</v>
      </c>
      <c r="Z127" s="43"/>
      <c r="AA127" s="44"/>
      <c r="AB127" s="38" t="str">
        <f t="shared" si="1"/>
        <v>9N22616120</v>
      </c>
    </row>
    <row r="128" spans="4:28" ht="33" customHeight="1">
      <c r="D128" s="39"/>
      <c r="E128" s="45"/>
      <c r="F128" s="39">
        <v>200</v>
      </c>
      <c r="G128" s="39" t="s">
        <v>711</v>
      </c>
      <c r="H128" s="39">
        <v>1060</v>
      </c>
      <c r="I128" s="39" t="s">
        <v>771</v>
      </c>
      <c r="J128" s="40" t="s">
        <v>772</v>
      </c>
      <c r="K128" s="39" t="s">
        <v>307</v>
      </c>
      <c r="L128" s="39" t="s">
        <v>308</v>
      </c>
      <c r="M128" s="39">
        <v>1</v>
      </c>
      <c r="N128" s="39" t="s">
        <v>309</v>
      </c>
      <c r="O128" s="39"/>
      <c r="P128" s="39"/>
      <c r="Q128" s="39"/>
      <c r="R128" s="41"/>
      <c r="S128" s="39"/>
      <c r="T128" s="41" t="s">
        <v>773</v>
      </c>
      <c r="U128" s="40" t="s">
        <v>774</v>
      </c>
      <c r="V128" s="41"/>
      <c r="W128" s="40"/>
      <c r="X128" s="42" t="s">
        <v>627</v>
      </c>
      <c r="Y128" s="42" t="s">
        <v>267</v>
      </c>
      <c r="Z128" s="43"/>
      <c r="AA128" s="44" t="s">
        <v>628</v>
      </c>
      <c r="AB128" s="38" t="str">
        <f t="shared" si="1"/>
        <v>6A01016070</v>
      </c>
    </row>
    <row r="129" spans="4:28" ht="33" customHeight="1">
      <c r="D129" s="39"/>
      <c r="E129" s="45"/>
      <c r="F129" s="39">
        <v>200</v>
      </c>
      <c r="G129" s="39" t="s">
        <v>711</v>
      </c>
      <c r="H129" s="39">
        <v>1070</v>
      </c>
      <c r="I129" s="39" t="s">
        <v>775</v>
      </c>
      <c r="J129" s="40" t="s">
        <v>776</v>
      </c>
      <c r="K129" s="39" t="s">
        <v>302</v>
      </c>
      <c r="L129" s="39" t="s">
        <v>303</v>
      </c>
      <c r="M129" s="39">
        <v>256</v>
      </c>
      <c r="N129" s="39"/>
      <c r="O129" s="39"/>
      <c r="P129" s="39"/>
      <c r="Q129" s="39"/>
      <c r="R129" s="41"/>
      <c r="S129" s="39"/>
      <c r="T129" s="41" t="s">
        <v>773</v>
      </c>
      <c r="U129" s="40" t="s">
        <v>774</v>
      </c>
      <c r="V129" s="41"/>
      <c r="W129" s="40"/>
      <c r="X129" s="42"/>
      <c r="Y129" s="42" t="s">
        <v>267</v>
      </c>
      <c r="Z129" s="43"/>
      <c r="AA129" s="44" t="s">
        <v>631</v>
      </c>
      <c r="AB129" s="38" t="str">
        <f t="shared" si="1"/>
        <v>6A01016080</v>
      </c>
    </row>
    <row r="130" spans="4:28" ht="33" customHeight="1">
      <c r="D130" s="39"/>
      <c r="E130" s="45"/>
      <c r="F130" s="39">
        <v>200</v>
      </c>
      <c r="G130" s="39" t="s">
        <v>711</v>
      </c>
      <c r="H130" s="39">
        <v>1080</v>
      </c>
      <c r="I130" s="39" t="s">
        <v>777</v>
      </c>
      <c r="J130" s="40" t="s">
        <v>778</v>
      </c>
      <c r="K130" s="39" t="s">
        <v>307</v>
      </c>
      <c r="L130" s="39" t="s">
        <v>602</v>
      </c>
      <c r="M130" s="39">
        <v>1</v>
      </c>
      <c r="N130" s="39" t="s">
        <v>309</v>
      </c>
      <c r="O130" s="39"/>
      <c r="P130" s="39"/>
      <c r="Q130" s="39"/>
      <c r="R130" s="41"/>
      <c r="S130" s="39"/>
      <c r="T130" s="41" t="s">
        <v>779</v>
      </c>
      <c r="U130" s="40" t="s">
        <v>780</v>
      </c>
      <c r="V130" s="41"/>
      <c r="W130" s="40"/>
      <c r="X130" s="42" t="s">
        <v>606</v>
      </c>
      <c r="Y130" s="42" t="s">
        <v>267</v>
      </c>
      <c r="Z130" s="43"/>
      <c r="AA130" s="44" t="s">
        <v>781</v>
      </c>
      <c r="AB130" s="38" t="str">
        <f t="shared" si="1"/>
        <v>6A20500000</v>
      </c>
    </row>
    <row r="131" spans="4:28" ht="33" customHeight="1">
      <c r="D131" s="39"/>
      <c r="E131" s="45"/>
      <c r="F131" s="39">
        <v>200</v>
      </c>
      <c r="G131" s="39" t="s">
        <v>711</v>
      </c>
      <c r="H131" s="39">
        <v>1090</v>
      </c>
      <c r="I131" s="39" t="s">
        <v>782</v>
      </c>
      <c r="J131" s="40" t="s">
        <v>783</v>
      </c>
      <c r="K131" s="39" t="s">
        <v>307</v>
      </c>
      <c r="L131" s="39" t="s">
        <v>602</v>
      </c>
      <c r="M131" s="39">
        <v>2</v>
      </c>
      <c r="N131" s="39" t="s">
        <v>784</v>
      </c>
      <c r="O131" s="39"/>
      <c r="P131" s="39"/>
      <c r="Q131" s="39"/>
      <c r="R131" s="41"/>
      <c r="S131" s="39"/>
      <c r="T131" s="41" t="s">
        <v>779</v>
      </c>
      <c r="U131" s="40" t="s">
        <v>780</v>
      </c>
      <c r="V131" s="41"/>
      <c r="W131" s="40"/>
      <c r="X131" s="42" t="s">
        <v>785</v>
      </c>
      <c r="Y131" s="42" t="s">
        <v>267</v>
      </c>
      <c r="Z131" s="43"/>
      <c r="AA131" s="44" t="s">
        <v>786</v>
      </c>
      <c r="AB131" s="38" t="str">
        <f t="shared" ref="AB131:AB194" si="2">LEFT(I131,10)</f>
        <v>6A20516560</v>
      </c>
    </row>
    <row r="132" spans="4:28" ht="33" customHeight="1">
      <c r="D132" s="39"/>
      <c r="E132" s="45"/>
      <c r="F132" s="39">
        <v>200</v>
      </c>
      <c r="G132" s="39" t="s">
        <v>711</v>
      </c>
      <c r="H132" s="39">
        <v>1100</v>
      </c>
      <c r="I132" s="39" t="s">
        <v>787</v>
      </c>
      <c r="J132" s="40" t="s">
        <v>788</v>
      </c>
      <c r="K132" s="39" t="s">
        <v>307</v>
      </c>
      <c r="L132" s="39" t="s">
        <v>602</v>
      </c>
      <c r="M132" s="39">
        <v>1</v>
      </c>
      <c r="N132" s="39" t="s">
        <v>309</v>
      </c>
      <c r="O132" s="39"/>
      <c r="P132" s="39"/>
      <c r="Q132" s="39"/>
      <c r="R132" s="41"/>
      <c r="S132" s="39"/>
      <c r="T132" s="41" t="s">
        <v>789</v>
      </c>
      <c r="U132" s="40" t="s">
        <v>788</v>
      </c>
      <c r="V132" s="41"/>
      <c r="W132" s="40"/>
      <c r="X132" s="42" t="s">
        <v>790</v>
      </c>
      <c r="Y132" s="42" t="s">
        <v>267</v>
      </c>
      <c r="Z132" s="43"/>
      <c r="AA132" s="44" t="s">
        <v>733</v>
      </c>
      <c r="AB132" s="38" t="str">
        <f t="shared" si="2"/>
        <v>7A01000000</v>
      </c>
    </row>
    <row r="133" spans="4:28" ht="33" customHeight="1">
      <c r="D133" s="39"/>
      <c r="E133" s="45"/>
      <c r="F133" s="39">
        <v>200</v>
      </c>
      <c r="G133" s="39" t="s">
        <v>711</v>
      </c>
      <c r="H133" s="39">
        <v>1110</v>
      </c>
      <c r="I133" s="39" t="s">
        <v>791</v>
      </c>
      <c r="J133" s="40" t="s">
        <v>792</v>
      </c>
      <c r="K133" s="39" t="s">
        <v>307</v>
      </c>
      <c r="L133" s="39" t="s">
        <v>602</v>
      </c>
      <c r="M133" s="39">
        <v>1</v>
      </c>
      <c r="N133" s="39" t="s">
        <v>309</v>
      </c>
      <c r="O133" s="39"/>
      <c r="P133" s="39"/>
      <c r="Q133" s="39"/>
      <c r="R133" s="41" t="s">
        <v>793</v>
      </c>
      <c r="S133" s="39" t="s">
        <v>504</v>
      </c>
      <c r="T133" s="41" t="s">
        <v>794</v>
      </c>
      <c r="U133" s="40" t="s">
        <v>795</v>
      </c>
      <c r="V133" s="41"/>
      <c r="W133" s="40"/>
      <c r="X133" s="42" t="s">
        <v>732</v>
      </c>
      <c r="Y133" s="42" t="s">
        <v>267</v>
      </c>
      <c r="Z133" s="43"/>
      <c r="AA133" s="44" t="s">
        <v>733</v>
      </c>
      <c r="AB133" s="38" t="str">
        <f t="shared" si="2"/>
        <v>9N25100000</v>
      </c>
    </row>
    <row r="134" spans="4:28" ht="33" customHeight="1">
      <c r="D134" s="39"/>
      <c r="E134" s="45"/>
      <c r="F134" s="39">
        <v>200</v>
      </c>
      <c r="G134" s="39" t="s">
        <v>711</v>
      </c>
      <c r="H134" s="39">
        <v>1120</v>
      </c>
      <c r="I134" s="39" t="s">
        <v>796</v>
      </c>
      <c r="J134" s="40" t="s">
        <v>797</v>
      </c>
      <c r="K134" s="39" t="s">
        <v>307</v>
      </c>
      <c r="L134" s="39" t="s">
        <v>308</v>
      </c>
      <c r="M134" s="39">
        <v>1</v>
      </c>
      <c r="N134" s="39" t="s">
        <v>309</v>
      </c>
      <c r="O134" s="39"/>
      <c r="P134" s="39"/>
      <c r="Q134" s="39"/>
      <c r="R134" s="41" t="s">
        <v>793</v>
      </c>
      <c r="S134" s="39" t="s">
        <v>504</v>
      </c>
      <c r="T134" s="41" t="s">
        <v>794</v>
      </c>
      <c r="U134" s="40" t="s">
        <v>795</v>
      </c>
      <c r="V134" s="41"/>
      <c r="W134" s="40"/>
      <c r="X134" s="42" t="s">
        <v>627</v>
      </c>
      <c r="Y134" s="42" t="s">
        <v>267</v>
      </c>
      <c r="Z134" s="43"/>
      <c r="AA134" s="44" t="s">
        <v>628</v>
      </c>
      <c r="AB134" s="38" t="str">
        <f t="shared" si="2"/>
        <v>9N25116070</v>
      </c>
    </row>
    <row r="135" spans="4:28" ht="33" customHeight="1">
      <c r="D135" s="39"/>
      <c r="E135" s="45"/>
      <c r="F135" s="39">
        <v>200</v>
      </c>
      <c r="G135" s="39" t="s">
        <v>711</v>
      </c>
      <c r="H135" s="39">
        <v>1130</v>
      </c>
      <c r="I135" s="39" t="s">
        <v>798</v>
      </c>
      <c r="J135" s="40" t="s">
        <v>799</v>
      </c>
      <c r="K135" s="39" t="s">
        <v>302</v>
      </c>
      <c r="L135" s="39" t="s">
        <v>303</v>
      </c>
      <c r="M135" s="39">
        <v>256</v>
      </c>
      <c r="N135" s="39"/>
      <c r="O135" s="39"/>
      <c r="P135" s="39"/>
      <c r="Q135" s="39"/>
      <c r="R135" s="41" t="s">
        <v>793</v>
      </c>
      <c r="S135" s="39" t="s">
        <v>504</v>
      </c>
      <c r="T135" s="41" t="s">
        <v>794</v>
      </c>
      <c r="U135" s="40" t="s">
        <v>795</v>
      </c>
      <c r="V135" s="41"/>
      <c r="W135" s="40"/>
      <c r="X135" s="42"/>
      <c r="Y135" s="42" t="s">
        <v>267</v>
      </c>
      <c r="Z135" s="43"/>
      <c r="AA135" s="44" t="s">
        <v>631</v>
      </c>
      <c r="AB135" s="38" t="str">
        <f t="shared" si="2"/>
        <v>9N25116080</v>
      </c>
    </row>
    <row r="136" spans="4:28" ht="33" customHeight="1">
      <c r="D136" s="39"/>
      <c r="E136" s="45"/>
      <c r="F136" s="39">
        <v>200</v>
      </c>
      <c r="G136" s="39" t="s">
        <v>711</v>
      </c>
      <c r="H136" s="39">
        <v>1140</v>
      </c>
      <c r="I136" s="39" t="s">
        <v>793</v>
      </c>
      <c r="J136" s="40" t="s">
        <v>800</v>
      </c>
      <c r="K136" s="39" t="s">
        <v>743</v>
      </c>
      <c r="L136" s="39" t="s">
        <v>303</v>
      </c>
      <c r="M136" s="39">
        <v>8</v>
      </c>
      <c r="N136" s="39"/>
      <c r="O136" s="39"/>
      <c r="P136" s="39"/>
      <c r="Q136" s="39"/>
      <c r="R136" s="41" t="s">
        <v>793</v>
      </c>
      <c r="S136" s="39" t="s">
        <v>504</v>
      </c>
      <c r="T136" s="41" t="s">
        <v>794</v>
      </c>
      <c r="U136" s="40" t="s">
        <v>795</v>
      </c>
      <c r="V136" s="41"/>
      <c r="W136" s="40"/>
      <c r="X136" s="42"/>
      <c r="Y136" s="42" t="s">
        <v>267</v>
      </c>
      <c r="Z136" s="43"/>
      <c r="AA136" s="44" t="s">
        <v>747</v>
      </c>
      <c r="AB136" s="38" t="str">
        <f t="shared" si="2"/>
        <v>9N25116110</v>
      </c>
    </row>
    <row r="137" spans="4:28" ht="33" customHeight="1">
      <c r="D137" s="39"/>
      <c r="E137" s="45"/>
      <c r="F137" s="39">
        <v>200</v>
      </c>
      <c r="G137" s="39" t="s">
        <v>711</v>
      </c>
      <c r="H137" s="39">
        <v>1150</v>
      </c>
      <c r="I137" s="39" t="s">
        <v>801</v>
      </c>
      <c r="J137" s="40" t="s">
        <v>802</v>
      </c>
      <c r="K137" s="39" t="s">
        <v>302</v>
      </c>
      <c r="L137" s="39" t="s">
        <v>303</v>
      </c>
      <c r="M137" s="39">
        <v>64</v>
      </c>
      <c r="N137" s="39"/>
      <c r="O137" s="39"/>
      <c r="P137" s="39"/>
      <c r="Q137" s="39"/>
      <c r="R137" s="41" t="s">
        <v>793</v>
      </c>
      <c r="S137" s="39" t="s">
        <v>504</v>
      </c>
      <c r="T137" s="41" t="s">
        <v>794</v>
      </c>
      <c r="U137" s="40" t="s">
        <v>795</v>
      </c>
      <c r="V137" s="41"/>
      <c r="W137" s="40"/>
      <c r="X137" s="42"/>
      <c r="Y137" s="42" t="s">
        <v>267</v>
      </c>
      <c r="Z137" s="43"/>
      <c r="AA137" s="44"/>
      <c r="AB137" s="38" t="str">
        <f t="shared" si="2"/>
        <v>9N25116120</v>
      </c>
    </row>
    <row r="138" spans="4:28" ht="33" customHeight="1">
      <c r="D138" s="39"/>
      <c r="E138" s="45"/>
      <c r="F138" s="39">
        <v>200</v>
      </c>
      <c r="G138" s="39" t="s">
        <v>711</v>
      </c>
      <c r="H138" s="39">
        <v>1160</v>
      </c>
      <c r="I138" s="39" t="s">
        <v>803</v>
      </c>
      <c r="J138" s="40" t="s">
        <v>804</v>
      </c>
      <c r="K138" s="39" t="s">
        <v>307</v>
      </c>
      <c r="L138" s="39" t="s">
        <v>308</v>
      </c>
      <c r="M138" s="39">
        <v>1</v>
      </c>
      <c r="N138" s="39" t="s">
        <v>309</v>
      </c>
      <c r="O138" s="39"/>
      <c r="P138" s="39"/>
      <c r="Q138" s="39"/>
      <c r="R138" s="41" t="s">
        <v>805</v>
      </c>
      <c r="S138" s="39" t="s">
        <v>504</v>
      </c>
      <c r="T138" s="41" t="s">
        <v>806</v>
      </c>
      <c r="U138" s="40" t="s">
        <v>807</v>
      </c>
      <c r="V138" s="41"/>
      <c r="W138" s="40"/>
      <c r="X138" s="42" t="s">
        <v>627</v>
      </c>
      <c r="Y138" s="42" t="s">
        <v>267</v>
      </c>
      <c r="Z138" s="43"/>
      <c r="AA138" s="44" t="s">
        <v>762</v>
      </c>
      <c r="AB138" s="38" t="str">
        <f t="shared" si="2"/>
        <v>9N25616070</v>
      </c>
    </row>
    <row r="139" spans="4:28" ht="33" customHeight="1">
      <c r="D139" s="39"/>
      <c r="E139" s="45"/>
      <c r="F139" s="39">
        <v>200</v>
      </c>
      <c r="G139" s="39" t="s">
        <v>711</v>
      </c>
      <c r="H139" s="39">
        <v>1170</v>
      </c>
      <c r="I139" s="39" t="s">
        <v>808</v>
      </c>
      <c r="J139" s="40" t="s">
        <v>809</v>
      </c>
      <c r="K139" s="39" t="s">
        <v>302</v>
      </c>
      <c r="L139" s="39" t="s">
        <v>303</v>
      </c>
      <c r="M139" s="39">
        <v>256</v>
      </c>
      <c r="N139" s="39"/>
      <c r="O139" s="39"/>
      <c r="P139" s="39"/>
      <c r="Q139" s="39"/>
      <c r="R139" s="41" t="s">
        <v>805</v>
      </c>
      <c r="S139" s="39" t="s">
        <v>504</v>
      </c>
      <c r="T139" s="41" t="s">
        <v>806</v>
      </c>
      <c r="U139" s="40" t="s">
        <v>807</v>
      </c>
      <c r="V139" s="41"/>
      <c r="W139" s="40"/>
      <c r="X139" s="42"/>
      <c r="Y139" s="42" t="s">
        <v>267</v>
      </c>
      <c r="Z139" s="43"/>
      <c r="AA139" s="44" t="s">
        <v>631</v>
      </c>
      <c r="AB139" s="38" t="str">
        <f t="shared" si="2"/>
        <v>9N25616080</v>
      </c>
    </row>
    <row r="140" spans="4:28" ht="33" customHeight="1">
      <c r="D140" s="39"/>
      <c r="E140" s="45"/>
      <c r="F140" s="39">
        <v>200</v>
      </c>
      <c r="G140" s="39" t="s">
        <v>711</v>
      </c>
      <c r="H140" s="39">
        <v>1180</v>
      </c>
      <c r="I140" s="39" t="s">
        <v>805</v>
      </c>
      <c r="J140" s="40" t="s">
        <v>810</v>
      </c>
      <c r="K140" s="39" t="s">
        <v>743</v>
      </c>
      <c r="L140" s="39" t="s">
        <v>303</v>
      </c>
      <c r="M140" s="39">
        <v>8</v>
      </c>
      <c r="N140" s="39"/>
      <c r="O140" s="39"/>
      <c r="P140" s="39"/>
      <c r="Q140" s="39"/>
      <c r="R140" s="41" t="s">
        <v>805</v>
      </c>
      <c r="S140" s="39" t="s">
        <v>504</v>
      </c>
      <c r="T140" s="41" t="s">
        <v>806</v>
      </c>
      <c r="U140" s="40" t="s">
        <v>807</v>
      </c>
      <c r="V140" s="41"/>
      <c r="W140" s="40"/>
      <c r="X140" s="42"/>
      <c r="Y140" s="42" t="s">
        <v>267</v>
      </c>
      <c r="Z140" s="43"/>
      <c r="AA140" s="44" t="s">
        <v>747</v>
      </c>
      <c r="AB140" s="38" t="str">
        <f t="shared" si="2"/>
        <v>9N25616110</v>
      </c>
    </row>
    <row r="141" spans="4:28" ht="33" customHeight="1">
      <c r="D141" s="39"/>
      <c r="E141" s="45"/>
      <c r="F141" s="39">
        <v>200</v>
      </c>
      <c r="G141" s="39" t="s">
        <v>711</v>
      </c>
      <c r="H141" s="39">
        <v>1190</v>
      </c>
      <c r="I141" s="39" t="s">
        <v>811</v>
      </c>
      <c r="J141" s="40" t="s">
        <v>812</v>
      </c>
      <c r="K141" s="39" t="s">
        <v>302</v>
      </c>
      <c r="L141" s="39" t="s">
        <v>303</v>
      </c>
      <c r="M141" s="39">
        <v>64</v>
      </c>
      <c r="N141" s="39"/>
      <c r="O141" s="39"/>
      <c r="P141" s="39"/>
      <c r="Q141" s="39"/>
      <c r="R141" s="41" t="s">
        <v>805</v>
      </c>
      <c r="S141" s="39" t="s">
        <v>504</v>
      </c>
      <c r="T141" s="41" t="s">
        <v>806</v>
      </c>
      <c r="U141" s="40" t="s">
        <v>807</v>
      </c>
      <c r="V141" s="41"/>
      <c r="W141" s="40"/>
      <c r="X141" s="42"/>
      <c r="Y141" s="42" t="s">
        <v>267</v>
      </c>
      <c r="Z141" s="43"/>
      <c r="AA141" s="44"/>
      <c r="AB141" s="38" t="str">
        <f t="shared" si="2"/>
        <v>9N25616120</v>
      </c>
    </row>
    <row r="142" spans="4:28" ht="33" customHeight="1">
      <c r="D142" s="39"/>
      <c r="E142" s="45"/>
      <c r="F142" s="39">
        <v>200</v>
      </c>
      <c r="G142" s="39" t="s">
        <v>711</v>
      </c>
      <c r="H142" s="39">
        <v>1200</v>
      </c>
      <c r="I142" s="39" t="s">
        <v>813</v>
      </c>
      <c r="J142" s="40" t="s">
        <v>814</v>
      </c>
      <c r="K142" s="39" t="s">
        <v>307</v>
      </c>
      <c r="L142" s="39" t="s">
        <v>308</v>
      </c>
      <c r="M142" s="39">
        <v>1</v>
      </c>
      <c r="N142" s="39" t="s">
        <v>309</v>
      </c>
      <c r="O142" s="39"/>
      <c r="P142" s="39"/>
      <c r="Q142" s="39"/>
      <c r="R142" s="41" t="s">
        <v>815</v>
      </c>
      <c r="S142" s="39" t="s">
        <v>504</v>
      </c>
      <c r="T142" s="41" t="s">
        <v>816</v>
      </c>
      <c r="U142" s="40" t="s">
        <v>817</v>
      </c>
      <c r="V142" s="41"/>
      <c r="W142" s="40"/>
      <c r="X142" s="42" t="s">
        <v>627</v>
      </c>
      <c r="Y142" s="42" t="s">
        <v>267</v>
      </c>
      <c r="Z142" s="43"/>
      <c r="AA142" s="44" t="s">
        <v>762</v>
      </c>
      <c r="AB142" s="38" t="str">
        <f t="shared" si="2"/>
        <v>9N26116070</v>
      </c>
    </row>
    <row r="143" spans="4:28" ht="33" customHeight="1">
      <c r="D143" s="39"/>
      <c r="E143" s="45"/>
      <c r="F143" s="39">
        <v>200</v>
      </c>
      <c r="G143" s="39" t="s">
        <v>711</v>
      </c>
      <c r="H143" s="39">
        <v>1210</v>
      </c>
      <c r="I143" s="39" t="s">
        <v>818</v>
      </c>
      <c r="J143" s="40" t="s">
        <v>819</v>
      </c>
      <c r="K143" s="39" t="s">
        <v>302</v>
      </c>
      <c r="L143" s="39" t="s">
        <v>303</v>
      </c>
      <c r="M143" s="39">
        <v>256</v>
      </c>
      <c r="N143" s="39"/>
      <c r="O143" s="39"/>
      <c r="P143" s="39"/>
      <c r="Q143" s="39"/>
      <c r="R143" s="41" t="s">
        <v>815</v>
      </c>
      <c r="S143" s="39" t="s">
        <v>504</v>
      </c>
      <c r="T143" s="41" t="s">
        <v>816</v>
      </c>
      <c r="U143" s="40" t="s">
        <v>817</v>
      </c>
      <c r="V143" s="41"/>
      <c r="W143" s="40"/>
      <c r="X143" s="42"/>
      <c r="Y143" s="42" t="s">
        <v>267</v>
      </c>
      <c r="Z143" s="43"/>
      <c r="AA143" s="44" t="s">
        <v>631</v>
      </c>
      <c r="AB143" s="38" t="str">
        <f t="shared" si="2"/>
        <v>9N26116080</v>
      </c>
    </row>
    <row r="144" spans="4:28" ht="33" customHeight="1">
      <c r="D144" s="39"/>
      <c r="E144" s="45"/>
      <c r="F144" s="39">
        <v>200</v>
      </c>
      <c r="G144" s="39" t="s">
        <v>711</v>
      </c>
      <c r="H144" s="39">
        <v>1220</v>
      </c>
      <c r="I144" s="39" t="s">
        <v>815</v>
      </c>
      <c r="J144" s="40" t="s">
        <v>820</v>
      </c>
      <c r="K144" s="39" t="s">
        <v>743</v>
      </c>
      <c r="L144" s="39" t="s">
        <v>303</v>
      </c>
      <c r="M144" s="39">
        <v>8</v>
      </c>
      <c r="N144" s="39"/>
      <c r="O144" s="39"/>
      <c r="P144" s="39"/>
      <c r="Q144" s="39"/>
      <c r="R144" s="41" t="s">
        <v>815</v>
      </c>
      <c r="S144" s="39" t="s">
        <v>504</v>
      </c>
      <c r="T144" s="41" t="s">
        <v>816</v>
      </c>
      <c r="U144" s="40" t="s">
        <v>817</v>
      </c>
      <c r="V144" s="41"/>
      <c r="W144" s="40"/>
      <c r="X144" s="42"/>
      <c r="Y144" s="42" t="s">
        <v>267</v>
      </c>
      <c r="Z144" s="43"/>
      <c r="AA144" s="44" t="s">
        <v>747</v>
      </c>
      <c r="AB144" s="38" t="str">
        <f t="shared" si="2"/>
        <v>9N26116110</v>
      </c>
    </row>
    <row r="145" spans="4:28" ht="33" customHeight="1">
      <c r="D145" s="39"/>
      <c r="E145" s="45"/>
      <c r="F145" s="39">
        <v>200</v>
      </c>
      <c r="G145" s="39" t="s">
        <v>711</v>
      </c>
      <c r="H145" s="39">
        <v>1230</v>
      </c>
      <c r="I145" s="39" t="s">
        <v>821</v>
      </c>
      <c r="J145" s="40" t="s">
        <v>822</v>
      </c>
      <c r="K145" s="39" t="s">
        <v>302</v>
      </c>
      <c r="L145" s="39" t="s">
        <v>303</v>
      </c>
      <c r="M145" s="39">
        <v>64</v>
      </c>
      <c r="N145" s="39"/>
      <c r="O145" s="39"/>
      <c r="P145" s="39"/>
      <c r="Q145" s="39"/>
      <c r="R145" s="41" t="s">
        <v>815</v>
      </c>
      <c r="S145" s="39" t="s">
        <v>504</v>
      </c>
      <c r="T145" s="41" t="s">
        <v>816</v>
      </c>
      <c r="U145" s="40" t="s">
        <v>817</v>
      </c>
      <c r="V145" s="41"/>
      <c r="W145" s="40"/>
      <c r="X145" s="42"/>
      <c r="Y145" s="42" t="s">
        <v>267</v>
      </c>
      <c r="Z145" s="43"/>
      <c r="AA145" s="44"/>
      <c r="AB145" s="38" t="str">
        <f t="shared" si="2"/>
        <v>9N26116120</v>
      </c>
    </row>
    <row r="146" spans="4:28" ht="33" customHeight="1">
      <c r="D146" s="39"/>
      <c r="E146" s="45"/>
      <c r="F146" s="39">
        <v>200</v>
      </c>
      <c r="G146" s="39" t="s">
        <v>711</v>
      </c>
      <c r="H146" s="39">
        <v>1240</v>
      </c>
      <c r="I146" s="39" t="s">
        <v>823</v>
      </c>
      <c r="J146" s="40" t="s">
        <v>824</v>
      </c>
      <c r="K146" s="39" t="s">
        <v>307</v>
      </c>
      <c r="L146" s="39" t="s">
        <v>308</v>
      </c>
      <c r="M146" s="39">
        <v>1</v>
      </c>
      <c r="N146" s="39" t="s">
        <v>309</v>
      </c>
      <c r="O146" s="39"/>
      <c r="P146" s="39"/>
      <c r="Q146" s="39"/>
      <c r="R146" s="41"/>
      <c r="S146" s="39"/>
      <c r="T146" s="41" t="s">
        <v>825</v>
      </c>
      <c r="U146" s="40" t="s">
        <v>826</v>
      </c>
      <c r="V146" s="41"/>
      <c r="W146" s="40"/>
      <c r="X146" s="42" t="s">
        <v>627</v>
      </c>
      <c r="Y146" s="42" t="s">
        <v>267</v>
      </c>
      <c r="Z146" s="43"/>
      <c r="AA146" s="44" t="s">
        <v>628</v>
      </c>
      <c r="AB146" s="38" t="str">
        <f t="shared" si="2"/>
        <v>9N26616070</v>
      </c>
    </row>
    <row r="147" spans="4:28" ht="33" customHeight="1">
      <c r="D147" s="39"/>
      <c r="E147" s="45"/>
      <c r="F147" s="39">
        <v>200</v>
      </c>
      <c r="G147" s="39" t="s">
        <v>711</v>
      </c>
      <c r="H147" s="39">
        <v>1250</v>
      </c>
      <c r="I147" s="39" t="s">
        <v>827</v>
      </c>
      <c r="J147" s="40" t="s">
        <v>828</v>
      </c>
      <c r="K147" s="39" t="s">
        <v>302</v>
      </c>
      <c r="L147" s="39" t="s">
        <v>303</v>
      </c>
      <c r="M147" s="39">
        <v>256</v>
      </c>
      <c r="N147" s="39"/>
      <c r="O147" s="39"/>
      <c r="P147" s="39"/>
      <c r="Q147" s="39"/>
      <c r="R147" s="41"/>
      <c r="S147" s="39"/>
      <c r="T147" s="41" t="s">
        <v>825</v>
      </c>
      <c r="U147" s="40" t="s">
        <v>826</v>
      </c>
      <c r="V147" s="41"/>
      <c r="W147" s="40"/>
      <c r="X147" s="42"/>
      <c r="Y147" s="42" t="s">
        <v>267</v>
      </c>
      <c r="Z147" s="43"/>
      <c r="AA147" s="44" t="s">
        <v>631</v>
      </c>
      <c r="AB147" s="38" t="str">
        <f t="shared" si="2"/>
        <v>9N26616080</v>
      </c>
    </row>
    <row r="148" spans="4:28" ht="33" customHeight="1">
      <c r="D148" s="39"/>
      <c r="E148" s="45"/>
      <c r="F148" s="39">
        <v>200</v>
      </c>
      <c r="G148" s="39" t="s">
        <v>711</v>
      </c>
      <c r="H148" s="39">
        <v>1260</v>
      </c>
      <c r="I148" s="39" t="s">
        <v>829</v>
      </c>
      <c r="J148" s="40" t="s">
        <v>830</v>
      </c>
      <c r="K148" s="39" t="s">
        <v>307</v>
      </c>
      <c r="L148" s="39" t="s">
        <v>308</v>
      </c>
      <c r="M148" s="39">
        <v>1</v>
      </c>
      <c r="N148" s="39" t="s">
        <v>309</v>
      </c>
      <c r="O148" s="39"/>
      <c r="P148" s="39"/>
      <c r="Q148" s="39"/>
      <c r="R148" s="41"/>
      <c r="S148" s="39"/>
      <c r="T148" s="41" t="s">
        <v>831</v>
      </c>
      <c r="U148" s="40" t="s">
        <v>830</v>
      </c>
      <c r="V148" s="41"/>
      <c r="W148" s="40" t="s">
        <v>832</v>
      </c>
      <c r="X148" s="42" t="s">
        <v>833</v>
      </c>
      <c r="Y148" s="42" t="s">
        <v>267</v>
      </c>
      <c r="Z148" s="43"/>
      <c r="AA148" s="44" t="s">
        <v>834</v>
      </c>
      <c r="AB148" s="38" t="str">
        <f t="shared" si="2"/>
        <v>3B33900000</v>
      </c>
    </row>
    <row r="149" spans="4:28" ht="33" customHeight="1">
      <c r="D149" s="39"/>
      <c r="E149" s="45"/>
      <c r="F149" s="39">
        <v>200</v>
      </c>
      <c r="G149" s="39" t="s">
        <v>711</v>
      </c>
      <c r="H149" s="39">
        <v>1270</v>
      </c>
      <c r="I149" s="39" t="s">
        <v>835</v>
      </c>
      <c r="J149" s="40" t="s">
        <v>836</v>
      </c>
      <c r="K149" s="39" t="s">
        <v>307</v>
      </c>
      <c r="L149" s="39" t="s">
        <v>308</v>
      </c>
      <c r="M149" s="39">
        <v>1</v>
      </c>
      <c r="N149" s="39" t="s">
        <v>309</v>
      </c>
      <c r="O149" s="39"/>
      <c r="P149" s="39"/>
      <c r="Q149" s="39"/>
      <c r="R149" s="41"/>
      <c r="S149" s="39"/>
      <c r="T149" s="41" t="s">
        <v>837</v>
      </c>
      <c r="U149" s="40" t="s">
        <v>838</v>
      </c>
      <c r="V149" s="41"/>
      <c r="W149" s="40"/>
      <c r="X149" s="42" t="s">
        <v>627</v>
      </c>
      <c r="Y149" s="42" t="s">
        <v>267</v>
      </c>
      <c r="Z149" s="43"/>
      <c r="AA149" s="44" t="s">
        <v>628</v>
      </c>
      <c r="AB149" s="38" t="str">
        <f t="shared" si="2"/>
        <v>9F13016070</v>
      </c>
    </row>
    <row r="150" spans="4:28" ht="33" customHeight="1">
      <c r="D150" s="39"/>
      <c r="E150" s="45"/>
      <c r="F150" s="39">
        <v>200</v>
      </c>
      <c r="G150" s="39" t="s">
        <v>711</v>
      </c>
      <c r="H150" s="39">
        <v>1280</v>
      </c>
      <c r="I150" s="39" t="s">
        <v>839</v>
      </c>
      <c r="J150" s="40" t="s">
        <v>840</v>
      </c>
      <c r="K150" s="39" t="s">
        <v>302</v>
      </c>
      <c r="L150" s="39" t="s">
        <v>303</v>
      </c>
      <c r="M150" s="39">
        <v>256</v>
      </c>
      <c r="N150" s="39"/>
      <c r="O150" s="39"/>
      <c r="P150" s="39"/>
      <c r="Q150" s="39"/>
      <c r="R150" s="41"/>
      <c r="S150" s="39"/>
      <c r="T150" s="41" t="s">
        <v>837</v>
      </c>
      <c r="U150" s="40" t="s">
        <v>838</v>
      </c>
      <c r="V150" s="41"/>
      <c r="W150" s="40"/>
      <c r="X150" s="42"/>
      <c r="Y150" s="42" t="s">
        <v>267</v>
      </c>
      <c r="Z150" s="43"/>
      <c r="AA150" s="44" t="s">
        <v>631</v>
      </c>
      <c r="AB150" s="38" t="str">
        <f t="shared" si="2"/>
        <v>9F13016080</v>
      </c>
    </row>
    <row r="151" spans="4:28" ht="33" customHeight="1">
      <c r="D151" s="39"/>
      <c r="E151" s="45"/>
      <c r="F151" s="39">
        <v>200</v>
      </c>
      <c r="G151" s="39" t="s">
        <v>711</v>
      </c>
      <c r="H151" s="39">
        <v>1290</v>
      </c>
      <c r="I151" s="39" t="s">
        <v>841</v>
      </c>
      <c r="J151" s="40" t="s">
        <v>842</v>
      </c>
      <c r="K151" s="39" t="s">
        <v>307</v>
      </c>
      <c r="L151" s="39" t="s">
        <v>308</v>
      </c>
      <c r="M151" s="39">
        <v>1</v>
      </c>
      <c r="N151" s="39" t="s">
        <v>309</v>
      </c>
      <c r="O151" s="39"/>
      <c r="P151" s="39"/>
      <c r="Q151" s="39"/>
      <c r="R151" s="41"/>
      <c r="S151" s="39"/>
      <c r="T151" s="41" t="s">
        <v>843</v>
      </c>
      <c r="U151" s="40" t="s">
        <v>844</v>
      </c>
      <c r="V151" s="41"/>
      <c r="W151" s="40"/>
      <c r="X151" s="42" t="s">
        <v>627</v>
      </c>
      <c r="Y151" s="42" t="s">
        <v>267</v>
      </c>
      <c r="Z151" s="43"/>
      <c r="AA151" s="44" t="s">
        <v>628</v>
      </c>
      <c r="AB151" s="38" t="str">
        <f t="shared" si="2"/>
        <v>9N27116070</v>
      </c>
    </row>
    <row r="152" spans="4:28" ht="33" customHeight="1">
      <c r="D152" s="39"/>
      <c r="E152" s="45"/>
      <c r="F152" s="39">
        <v>200</v>
      </c>
      <c r="G152" s="39" t="s">
        <v>711</v>
      </c>
      <c r="H152" s="39">
        <v>1300</v>
      </c>
      <c r="I152" s="39" t="s">
        <v>845</v>
      </c>
      <c r="J152" s="40" t="s">
        <v>846</v>
      </c>
      <c r="K152" s="39" t="s">
        <v>302</v>
      </c>
      <c r="L152" s="39" t="s">
        <v>303</v>
      </c>
      <c r="M152" s="39">
        <v>256</v>
      </c>
      <c r="N152" s="39"/>
      <c r="O152" s="39"/>
      <c r="P152" s="39"/>
      <c r="Q152" s="39"/>
      <c r="R152" s="41"/>
      <c r="S152" s="39"/>
      <c r="T152" s="41" t="s">
        <v>843</v>
      </c>
      <c r="U152" s="40" t="s">
        <v>844</v>
      </c>
      <c r="V152" s="41"/>
      <c r="W152" s="40"/>
      <c r="X152" s="42"/>
      <c r="Y152" s="42" t="s">
        <v>267</v>
      </c>
      <c r="Z152" s="43"/>
      <c r="AA152" s="44" t="s">
        <v>631</v>
      </c>
      <c r="AB152" s="38" t="str">
        <f t="shared" si="2"/>
        <v>9N27116080</v>
      </c>
    </row>
    <row r="153" spans="4:28" ht="33" customHeight="1">
      <c r="D153" s="39"/>
      <c r="E153" s="45"/>
      <c r="F153" s="39">
        <v>200</v>
      </c>
      <c r="G153" s="39" t="s">
        <v>711</v>
      </c>
      <c r="H153" s="39">
        <v>1310</v>
      </c>
      <c r="I153" s="39" t="s">
        <v>847</v>
      </c>
      <c r="J153" s="40" t="s">
        <v>848</v>
      </c>
      <c r="K153" s="39" t="s">
        <v>307</v>
      </c>
      <c r="L153" s="39" t="s">
        <v>308</v>
      </c>
      <c r="M153" s="39">
        <v>1</v>
      </c>
      <c r="N153" s="39" t="s">
        <v>309</v>
      </c>
      <c r="O153" s="39"/>
      <c r="P153" s="39"/>
      <c r="Q153" s="39"/>
      <c r="R153" s="41"/>
      <c r="S153" s="39"/>
      <c r="T153" s="41" t="s">
        <v>849</v>
      </c>
      <c r="U153" s="40" t="s">
        <v>850</v>
      </c>
      <c r="V153" s="41"/>
      <c r="W153" s="40"/>
      <c r="X153" s="42" t="s">
        <v>627</v>
      </c>
      <c r="Y153" s="42" t="s">
        <v>267</v>
      </c>
      <c r="Z153" s="43"/>
      <c r="AA153" s="44" t="s">
        <v>628</v>
      </c>
      <c r="AB153" s="38" t="str">
        <f t="shared" si="2"/>
        <v>9N27616070</v>
      </c>
    </row>
    <row r="154" spans="4:28" ht="33" customHeight="1">
      <c r="D154" s="39"/>
      <c r="E154" s="45"/>
      <c r="F154" s="39">
        <v>200</v>
      </c>
      <c r="G154" s="39" t="s">
        <v>711</v>
      </c>
      <c r="H154" s="39">
        <v>1320</v>
      </c>
      <c r="I154" s="39" t="s">
        <v>851</v>
      </c>
      <c r="J154" s="40" t="s">
        <v>852</v>
      </c>
      <c r="K154" s="39" t="s">
        <v>302</v>
      </c>
      <c r="L154" s="39" t="s">
        <v>303</v>
      </c>
      <c r="M154" s="39">
        <v>256</v>
      </c>
      <c r="N154" s="39"/>
      <c r="O154" s="39"/>
      <c r="P154" s="39"/>
      <c r="Q154" s="39"/>
      <c r="R154" s="41"/>
      <c r="S154" s="39"/>
      <c r="T154" s="41" t="s">
        <v>849</v>
      </c>
      <c r="U154" s="40" t="s">
        <v>850</v>
      </c>
      <c r="V154" s="41"/>
      <c r="W154" s="40"/>
      <c r="X154" s="42"/>
      <c r="Y154" s="42" t="s">
        <v>267</v>
      </c>
      <c r="Z154" s="43"/>
      <c r="AA154" s="44" t="s">
        <v>631</v>
      </c>
      <c r="AB154" s="38" t="str">
        <f t="shared" si="2"/>
        <v>9N27616080</v>
      </c>
    </row>
    <row r="155" spans="4:28" ht="33" customHeight="1">
      <c r="D155" s="39"/>
      <c r="E155" s="45"/>
      <c r="F155" s="39">
        <v>200</v>
      </c>
      <c r="G155" s="39" t="s">
        <v>711</v>
      </c>
      <c r="H155" s="39">
        <v>1330</v>
      </c>
      <c r="I155" s="39" t="s">
        <v>853</v>
      </c>
      <c r="J155" s="40" t="s">
        <v>854</v>
      </c>
      <c r="K155" s="39" t="s">
        <v>307</v>
      </c>
      <c r="L155" s="39" t="s">
        <v>308</v>
      </c>
      <c r="M155" s="39">
        <v>1</v>
      </c>
      <c r="N155" s="39" t="s">
        <v>309</v>
      </c>
      <c r="O155" s="39"/>
      <c r="P155" s="39"/>
      <c r="Q155" s="39"/>
      <c r="R155" s="41"/>
      <c r="S155" s="39"/>
      <c r="T155" s="41" t="s">
        <v>855</v>
      </c>
      <c r="U155" s="40" t="s">
        <v>856</v>
      </c>
      <c r="V155" s="41"/>
      <c r="W155" s="40"/>
      <c r="X155" s="42" t="s">
        <v>627</v>
      </c>
      <c r="Y155" s="42" t="s">
        <v>267</v>
      </c>
      <c r="Z155" s="43"/>
      <c r="AA155" s="44" t="s">
        <v>857</v>
      </c>
      <c r="AB155" s="38" t="str">
        <f t="shared" si="2"/>
        <v>9N28116070</v>
      </c>
    </row>
    <row r="156" spans="4:28" ht="33" customHeight="1">
      <c r="D156" s="39"/>
      <c r="E156" s="45"/>
      <c r="F156" s="39">
        <v>200</v>
      </c>
      <c r="G156" s="39" t="s">
        <v>711</v>
      </c>
      <c r="H156" s="39">
        <v>1340</v>
      </c>
      <c r="I156" s="39" t="s">
        <v>858</v>
      </c>
      <c r="J156" s="40" t="s">
        <v>859</v>
      </c>
      <c r="K156" s="39" t="s">
        <v>302</v>
      </c>
      <c r="L156" s="39" t="s">
        <v>303</v>
      </c>
      <c r="M156" s="39">
        <v>256</v>
      </c>
      <c r="N156" s="39"/>
      <c r="O156" s="39"/>
      <c r="P156" s="39"/>
      <c r="Q156" s="39"/>
      <c r="R156" s="41"/>
      <c r="S156" s="39"/>
      <c r="T156" s="41" t="s">
        <v>855</v>
      </c>
      <c r="U156" s="40" t="s">
        <v>856</v>
      </c>
      <c r="V156" s="41"/>
      <c r="W156" s="40"/>
      <c r="X156" s="42"/>
      <c r="Y156" s="42" t="s">
        <v>267</v>
      </c>
      <c r="Z156" s="43"/>
      <c r="AA156" s="44" t="s">
        <v>631</v>
      </c>
      <c r="AB156" s="38" t="str">
        <f t="shared" si="2"/>
        <v>9N28116080</v>
      </c>
    </row>
    <row r="157" spans="4:28" ht="33" customHeight="1">
      <c r="D157" s="39"/>
      <c r="E157" s="45"/>
      <c r="F157" s="39">
        <v>200</v>
      </c>
      <c r="G157" s="39" t="s">
        <v>711</v>
      </c>
      <c r="H157" s="39">
        <v>1350</v>
      </c>
      <c r="I157" s="39" t="s">
        <v>860</v>
      </c>
      <c r="J157" s="40" t="s">
        <v>861</v>
      </c>
      <c r="K157" s="39" t="s">
        <v>307</v>
      </c>
      <c r="L157" s="39" t="s">
        <v>308</v>
      </c>
      <c r="M157" s="39">
        <v>1</v>
      </c>
      <c r="N157" s="39" t="s">
        <v>309</v>
      </c>
      <c r="O157" s="39"/>
      <c r="P157" s="39"/>
      <c r="Q157" s="39"/>
      <c r="R157" s="41"/>
      <c r="S157" s="39"/>
      <c r="T157" s="41" t="s">
        <v>862</v>
      </c>
      <c r="U157" s="40" t="s">
        <v>863</v>
      </c>
      <c r="V157" s="41"/>
      <c r="W157" s="40"/>
      <c r="X157" s="42" t="s">
        <v>627</v>
      </c>
      <c r="Y157" s="42" t="s">
        <v>267</v>
      </c>
      <c r="Z157" s="43"/>
      <c r="AA157" s="44" t="s">
        <v>628</v>
      </c>
      <c r="AB157" s="38" t="str">
        <f t="shared" si="2"/>
        <v>9F14016070</v>
      </c>
    </row>
    <row r="158" spans="4:28" ht="33" customHeight="1">
      <c r="D158" s="39"/>
      <c r="E158" s="45"/>
      <c r="F158" s="39">
        <v>200</v>
      </c>
      <c r="G158" s="39" t="s">
        <v>711</v>
      </c>
      <c r="H158" s="39">
        <v>1360</v>
      </c>
      <c r="I158" s="39" t="s">
        <v>864</v>
      </c>
      <c r="J158" s="40" t="s">
        <v>865</v>
      </c>
      <c r="K158" s="39" t="s">
        <v>302</v>
      </c>
      <c r="L158" s="39" t="s">
        <v>303</v>
      </c>
      <c r="M158" s="39">
        <v>256</v>
      </c>
      <c r="N158" s="39"/>
      <c r="O158" s="39"/>
      <c r="P158" s="39"/>
      <c r="Q158" s="39"/>
      <c r="R158" s="41"/>
      <c r="S158" s="39"/>
      <c r="T158" s="41" t="s">
        <v>862</v>
      </c>
      <c r="U158" s="40" t="s">
        <v>863</v>
      </c>
      <c r="V158" s="41"/>
      <c r="W158" s="40"/>
      <c r="X158" s="42"/>
      <c r="Y158" s="42" t="s">
        <v>267</v>
      </c>
      <c r="Z158" s="43"/>
      <c r="AA158" s="44" t="s">
        <v>631</v>
      </c>
      <c r="AB158" s="38" t="str">
        <f t="shared" si="2"/>
        <v>9F14016080</v>
      </c>
    </row>
    <row r="159" spans="4:28" ht="33" customHeight="1">
      <c r="D159" s="39"/>
      <c r="E159" s="45"/>
      <c r="F159" s="39">
        <v>200</v>
      </c>
      <c r="G159" s="39" t="s">
        <v>711</v>
      </c>
      <c r="H159" s="39">
        <v>1370</v>
      </c>
      <c r="I159" s="39" t="s">
        <v>866</v>
      </c>
      <c r="J159" s="40" t="s">
        <v>867</v>
      </c>
      <c r="K159" s="39" t="s">
        <v>307</v>
      </c>
      <c r="L159" s="39" t="s">
        <v>308</v>
      </c>
      <c r="M159" s="39">
        <v>1</v>
      </c>
      <c r="N159" s="39" t="s">
        <v>309</v>
      </c>
      <c r="O159" s="39"/>
      <c r="P159" s="39"/>
      <c r="Q159" s="39"/>
      <c r="R159" s="41"/>
      <c r="S159" s="39"/>
      <c r="T159" s="41" t="s">
        <v>868</v>
      </c>
      <c r="U159" s="40" t="s">
        <v>869</v>
      </c>
      <c r="V159" s="41"/>
      <c r="W159" s="40"/>
      <c r="X159" s="42" t="s">
        <v>627</v>
      </c>
      <c r="Y159" s="42" t="s">
        <v>267</v>
      </c>
      <c r="Z159" s="43"/>
      <c r="AA159" s="44" t="s">
        <v>628</v>
      </c>
      <c r="AB159" s="38" t="str">
        <f t="shared" si="2"/>
        <v>9N29116070</v>
      </c>
    </row>
    <row r="160" spans="4:28" ht="33" customHeight="1">
      <c r="D160" s="39"/>
      <c r="E160" s="45"/>
      <c r="F160" s="39">
        <v>200</v>
      </c>
      <c r="G160" s="39" t="s">
        <v>711</v>
      </c>
      <c r="H160" s="39">
        <v>1380</v>
      </c>
      <c r="I160" s="39" t="s">
        <v>870</v>
      </c>
      <c r="J160" s="40" t="s">
        <v>871</v>
      </c>
      <c r="K160" s="39" t="s">
        <v>302</v>
      </c>
      <c r="L160" s="39" t="s">
        <v>303</v>
      </c>
      <c r="M160" s="39">
        <v>256</v>
      </c>
      <c r="N160" s="39"/>
      <c r="O160" s="39"/>
      <c r="P160" s="39"/>
      <c r="Q160" s="39"/>
      <c r="R160" s="41"/>
      <c r="S160" s="39"/>
      <c r="T160" s="41" t="s">
        <v>868</v>
      </c>
      <c r="U160" s="40" t="s">
        <v>869</v>
      </c>
      <c r="V160" s="41"/>
      <c r="W160" s="40"/>
      <c r="X160" s="42"/>
      <c r="Y160" s="42" t="s">
        <v>267</v>
      </c>
      <c r="Z160" s="43"/>
      <c r="AA160" s="44" t="s">
        <v>631</v>
      </c>
      <c r="AB160" s="38" t="str">
        <f t="shared" si="2"/>
        <v>9N29116080</v>
      </c>
    </row>
    <row r="161" spans="4:28" ht="33" customHeight="1">
      <c r="D161" s="39"/>
      <c r="E161" s="45"/>
      <c r="F161" s="39">
        <v>200</v>
      </c>
      <c r="G161" s="39" t="s">
        <v>711</v>
      </c>
      <c r="H161" s="39">
        <v>1390</v>
      </c>
      <c r="I161" s="39" t="s">
        <v>872</v>
      </c>
      <c r="J161" s="40" t="s">
        <v>873</v>
      </c>
      <c r="K161" s="39" t="s">
        <v>307</v>
      </c>
      <c r="L161" s="39" t="s">
        <v>308</v>
      </c>
      <c r="M161" s="39">
        <v>1</v>
      </c>
      <c r="N161" s="39" t="s">
        <v>309</v>
      </c>
      <c r="O161" s="39"/>
      <c r="P161" s="39"/>
      <c r="Q161" s="39"/>
      <c r="R161" s="41"/>
      <c r="S161" s="39"/>
      <c r="T161" s="41" t="s">
        <v>874</v>
      </c>
      <c r="U161" s="40" t="s">
        <v>875</v>
      </c>
      <c r="V161" s="41"/>
      <c r="W161" s="40"/>
      <c r="X161" s="42" t="s">
        <v>627</v>
      </c>
      <c r="Y161" s="42" t="s">
        <v>267</v>
      </c>
      <c r="Z161" s="43"/>
      <c r="AA161" s="44" t="s">
        <v>628</v>
      </c>
      <c r="AB161" s="38" t="str">
        <f t="shared" si="2"/>
        <v>9N29616070</v>
      </c>
    </row>
    <row r="162" spans="4:28" ht="33" customHeight="1">
      <c r="D162" s="39"/>
      <c r="E162" s="45"/>
      <c r="F162" s="39">
        <v>200</v>
      </c>
      <c r="G162" s="39" t="s">
        <v>711</v>
      </c>
      <c r="H162" s="39">
        <v>1400</v>
      </c>
      <c r="I162" s="39" t="s">
        <v>876</v>
      </c>
      <c r="J162" s="40" t="s">
        <v>877</v>
      </c>
      <c r="K162" s="39" t="s">
        <v>302</v>
      </c>
      <c r="L162" s="39" t="s">
        <v>303</v>
      </c>
      <c r="M162" s="39">
        <v>256</v>
      </c>
      <c r="N162" s="39"/>
      <c r="O162" s="39"/>
      <c r="P162" s="39"/>
      <c r="Q162" s="39"/>
      <c r="R162" s="41"/>
      <c r="S162" s="39"/>
      <c r="T162" s="41" t="s">
        <v>874</v>
      </c>
      <c r="U162" s="40" t="s">
        <v>875</v>
      </c>
      <c r="V162" s="41"/>
      <c r="W162" s="40"/>
      <c r="X162" s="42"/>
      <c r="Y162" s="42" t="s">
        <v>267</v>
      </c>
      <c r="Z162" s="43"/>
      <c r="AA162" s="44" t="s">
        <v>631</v>
      </c>
      <c r="AB162" s="38" t="str">
        <f t="shared" si="2"/>
        <v>9N29616080</v>
      </c>
    </row>
    <row r="163" spans="4:28" ht="33" customHeight="1">
      <c r="D163" s="39"/>
      <c r="E163" s="45"/>
      <c r="F163" s="39">
        <v>200</v>
      </c>
      <c r="G163" s="39" t="s">
        <v>711</v>
      </c>
      <c r="H163" s="39">
        <v>1410</v>
      </c>
      <c r="I163" s="39" t="s">
        <v>878</v>
      </c>
      <c r="J163" s="40" t="s">
        <v>879</v>
      </c>
      <c r="K163" s="39" t="s">
        <v>307</v>
      </c>
      <c r="L163" s="39" t="s">
        <v>602</v>
      </c>
      <c r="M163" s="39">
        <v>1</v>
      </c>
      <c r="N163" s="39" t="s">
        <v>309</v>
      </c>
      <c r="O163" s="39"/>
      <c r="P163" s="39"/>
      <c r="Q163" s="39"/>
      <c r="R163" s="41"/>
      <c r="S163" s="39"/>
      <c r="T163" s="41" t="s">
        <v>880</v>
      </c>
      <c r="U163" s="40" t="s">
        <v>881</v>
      </c>
      <c r="V163" s="41"/>
      <c r="W163" s="40"/>
      <c r="X163" s="42" t="s">
        <v>882</v>
      </c>
      <c r="Y163" s="42" t="s">
        <v>267</v>
      </c>
      <c r="Z163" s="43"/>
      <c r="AA163" s="44" t="s">
        <v>883</v>
      </c>
      <c r="AB163" s="38" t="str">
        <f t="shared" si="2"/>
        <v>7A02116500</v>
      </c>
    </row>
    <row r="164" spans="4:28" ht="33" customHeight="1">
      <c r="D164" s="39"/>
      <c r="E164" s="45"/>
      <c r="F164" s="39">
        <v>200</v>
      </c>
      <c r="G164" s="39" t="s">
        <v>711</v>
      </c>
      <c r="H164" s="39">
        <v>1421</v>
      </c>
      <c r="I164" s="39" t="s">
        <v>884</v>
      </c>
      <c r="J164" s="40" t="s">
        <v>885</v>
      </c>
      <c r="K164" s="39" t="s">
        <v>307</v>
      </c>
      <c r="L164" s="39" t="s">
        <v>308</v>
      </c>
      <c r="M164" s="39">
        <v>2</v>
      </c>
      <c r="N164" s="39" t="s">
        <v>784</v>
      </c>
      <c r="O164" s="39"/>
      <c r="P164" s="39"/>
      <c r="Q164" s="39"/>
      <c r="R164" s="41"/>
      <c r="S164" s="39"/>
      <c r="T164" s="41" t="s">
        <v>880</v>
      </c>
      <c r="U164" s="40" t="s">
        <v>881</v>
      </c>
      <c r="V164" s="41"/>
      <c r="W164" s="40"/>
      <c r="X164" s="42" t="s">
        <v>886</v>
      </c>
      <c r="Y164" s="42" t="s">
        <v>267</v>
      </c>
      <c r="Z164" s="43" t="s">
        <v>444</v>
      </c>
      <c r="AA164" s="44" t="s">
        <v>887</v>
      </c>
      <c r="AB164" s="38" t="str">
        <f t="shared" si="2"/>
        <v>7A02116520</v>
      </c>
    </row>
    <row r="165" spans="4:28" ht="33" customHeight="1">
      <c r="D165" s="39"/>
      <c r="E165" s="45"/>
      <c r="F165" s="39">
        <v>200</v>
      </c>
      <c r="G165" s="39" t="s">
        <v>711</v>
      </c>
      <c r="H165" s="39">
        <v>1430</v>
      </c>
      <c r="I165" s="39" t="s">
        <v>888</v>
      </c>
      <c r="J165" s="40" t="s">
        <v>889</v>
      </c>
      <c r="K165" s="39" t="s">
        <v>307</v>
      </c>
      <c r="L165" s="39" t="s">
        <v>308</v>
      </c>
      <c r="M165" s="39">
        <v>1</v>
      </c>
      <c r="N165" s="39" t="s">
        <v>309</v>
      </c>
      <c r="O165" s="39"/>
      <c r="P165" s="39"/>
      <c r="Q165" s="39"/>
      <c r="R165" s="41"/>
      <c r="S165" s="39"/>
      <c r="T165" s="41" t="s">
        <v>890</v>
      </c>
      <c r="U165" s="40" t="s">
        <v>891</v>
      </c>
      <c r="V165" s="41"/>
      <c r="W165" s="40"/>
      <c r="X165" s="42" t="s">
        <v>892</v>
      </c>
      <c r="Y165" s="42" t="s">
        <v>267</v>
      </c>
      <c r="Z165" s="43"/>
      <c r="AA165" s="44" t="s">
        <v>893</v>
      </c>
      <c r="AB165" s="38" t="str">
        <f t="shared" si="2"/>
        <v>7A02200000</v>
      </c>
    </row>
    <row r="166" spans="4:28" ht="33" customHeight="1">
      <c r="D166" s="39"/>
      <c r="E166" s="45"/>
      <c r="F166" s="39">
        <v>200</v>
      </c>
      <c r="G166" s="39" t="s">
        <v>711</v>
      </c>
      <c r="H166" s="39">
        <v>1440</v>
      </c>
      <c r="I166" s="39" t="s">
        <v>894</v>
      </c>
      <c r="J166" s="40" t="s">
        <v>895</v>
      </c>
      <c r="K166" s="39" t="s">
        <v>307</v>
      </c>
      <c r="L166" s="39" t="s">
        <v>308</v>
      </c>
      <c r="M166" s="39">
        <v>1</v>
      </c>
      <c r="N166" s="39" t="s">
        <v>309</v>
      </c>
      <c r="O166" s="39"/>
      <c r="P166" s="39"/>
      <c r="Q166" s="39"/>
      <c r="R166" s="41"/>
      <c r="S166" s="39"/>
      <c r="T166" s="41" t="s">
        <v>896</v>
      </c>
      <c r="U166" s="40" t="s">
        <v>897</v>
      </c>
      <c r="V166" s="41"/>
      <c r="W166" s="40"/>
      <c r="X166" s="42" t="s">
        <v>627</v>
      </c>
      <c r="Y166" s="42" t="s">
        <v>267</v>
      </c>
      <c r="Z166" s="43"/>
      <c r="AA166" s="44" t="s">
        <v>628</v>
      </c>
      <c r="AB166" s="38" t="str">
        <f t="shared" si="2"/>
        <v>9Z77116070</v>
      </c>
    </row>
    <row r="167" spans="4:28" ht="33" customHeight="1">
      <c r="D167" s="39"/>
      <c r="E167" s="45"/>
      <c r="F167" s="39">
        <v>200</v>
      </c>
      <c r="G167" s="39" t="s">
        <v>711</v>
      </c>
      <c r="H167" s="39">
        <v>1450</v>
      </c>
      <c r="I167" s="39" t="s">
        <v>898</v>
      </c>
      <c r="J167" s="40" t="s">
        <v>899</v>
      </c>
      <c r="K167" s="39" t="s">
        <v>302</v>
      </c>
      <c r="L167" s="39" t="s">
        <v>303</v>
      </c>
      <c r="M167" s="39">
        <v>256</v>
      </c>
      <c r="N167" s="39"/>
      <c r="O167" s="39"/>
      <c r="P167" s="39"/>
      <c r="Q167" s="39"/>
      <c r="R167" s="41"/>
      <c r="S167" s="39"/>
      <c r="T167" s="41" t="s">
        <v>896</v>
      </c>
      <c r="U167" s="40" t="s">
        <v>897</v>
      </c>
      <c r="V167" s="41"/>
      <c r="W167" s="40"/>
      <c r="X167" s="42"/>
      <c r="Y167" s="42" t="s">
        <v>267</v>
      </c>
      <c r="Z167" s="43"/>
      <c r="AA167" s="44" t="s">
        <v>631</v>
      </c>
      <c r="AB167" s="38" t="str">
        <f t="shared" si="2"/>
        <v>9Z77116080</v>
      </c>
    </row>
    <row r="168" spans="4:28" ht="33" customHeight="1">
      <c r="D168" s="39"/>
      <c r="E168" s="45"/>
      <c r="F168" s="39">
        <v>200</v>
      </c>
      <c r="G168" s="39" t="s">
        <v>711</v>
      </c>
      <c r="H168" s="39">
        <v>1460</v>
      </c>
      <c r="I168" s="39" t="s">
        <v>900</v>
      </c>
      <c r="J168" s="40" t="s">
        <v>901</v>
      </c>
      <c r="K168" s="39" t="s">
        <v>307</v>
      </c>
      <c r="L168" s="39" t="s">
        <v>308</v>
      </c>
      <c r="M168" s="39">
        <v>1</v>
      </c>
      <c r="N168" s="39" t="s">
        <v>309</v>
      </c>
      <c r="O168" s="39"/>
      <c r="P168" s="39"/>
      <c r="Q168" s="39"/>
      <c r="R168" s="41"/>
      <c r="S168" s="39"/>
      <c r="T168" s="41" t="s">
        <v>902</v>
      </c>
      <c r="U168" s="40" t="s">
        <v>903</v>
      </c>
      <c r="V168" s="41"/>
      <c r="W168" s="40"/>
      <c r="X168" s="42" t="s">
        <v>627</v>
      </c>
      <c r="Y168" s="42" t="s">
        <v>267</v>
      </c>
      <c r="Z168" s="43"/>
      <c r="AA168" s="44" t="s">
        <v>628</v>
      </c>
      <c r="AB168" s="38" t="str">
        <f t="shared" si="2"/>
        <v>9Z77016070</v>
      </c>
    </row>
    <row r="169" spans="4:28" ht="33" customHeight="1">
      <c r="D169" s="39"/>
      <c r="E169" s="45"/>
      <c r="F169" s="39">
        <v>200</v>
      </c>
      <c r="G169" s="39" t="s">
        <v>711</v>
      </c>
      <c r="H169" s="39">
        <v>1470</v>
      </c>
      <c r="I169" s="39" t="s">
        <v>904</v>
      </c>
      <c r="J169" s="40" t="s">
        <v>905</v>
      </c>
      <c r="K169" s="39" t="s">
        <v>302</v>
      </c>
      <c r="L169" s="39" t="s">
        <v>303</v>
      </c>
      <c r="M169" s="39">
        <v>256</v>
      </c>
      <c r="N169" s="39"/>
      <c r="O169" s="39"/>
      <c r="P169" s="39"/>
      <c r="Q169" s="39"/>
      <c r="R169" s="41"/>
      <c r="S169" s="39"/>
      <c r="T169" s="41" t="s">
        <v>902</v>
      </c>
      <c r="U169" s="40" t="s">
        <v>903</v>
      </c>
      <c r="V169" s="41"/>
      <c r="W169" s="40"/>
      <c r="X169" s="42"/>
      <c r="Y169" s="42" t="s">
        <v>267</v>
      </c>
      <c r="Z169" s="43"/>
      <c r="AA169" s="44" t="s">
        <v>631</v>
      </c>
      <c r="AB169" s="38" t="str">
        <f t="shared" si="2"/>
        <v>9Z77016080</v>
      </c>
    </row>
    <row r="170" spans="4:28" ht="33" customHeight="1">
      <c r="D170" s="39"/>
      <c r="E170" s="45"/>
      <c r="F170" s="39">
        <v>200</v>
      </c>
      <c r="G170" s="39" t="s">
        <v>711</v>
      </c>
      <c r="H170" s="39">
        <v>1480</v>
      </c>
      <c r="I170" s="39" t="s">
        <v>906</v>
      </c>
      <c r="J170" s="40" t="s">
        <v>907</v>
      </c>
      <c r="K170" s="39" t="s">
        <v>307</v>
      </c>
      <c r="L170" s="39" t="s">
        <v>308</v>
      </c>
      <c r="M170" s="39">
        <v>1</v>
      </c>
      <c r="N170" s="39" t="s">
        <v>309</v>
      </c>
      <c r="O170" s="39"/>
      <c r="P170" s="39"/>
      <c r="Q170" s="39"/>
      <c r="R170" s="41"/>
      <c r="S170" s="39"/>
      <c r="T170" s="41" t="s">
        <v>908</v>
      </c>
      <c r="U170" s="40" t="s">
        <v>907</v>
      </c>
      <c r="V170" s="41"/>
      <c r="W170" s="40" t="s">
        <v>832</v>
      </c>
      <c r="X170" s="42" t="s">
        <v>833</v>
      </c>
      <c r="Y170" s="42" t="s">
        <v>267</v>
      </c>
      <c r="Z170" s="43"/>
      <c r="AA170" s="44" t="s">
        <v>834</v>
      </c>
      <c r="AB170" s="38" t="str">
        <f t="shared" si="2"/>
        <v>1B03000000</v>
      </c>
    </row>
    <row r="171" spans="4:28" ht="33" customHeight="1">
      <c r="D171" s="39"/>
      <c r="E171" s="45"/>
      <c r="F171" s="39">
        <v>200</v>
      </c>
      <c r="G171" s="39" t="s">
        <v>711</v>
      </c>
      <c r="H171" s="39">
        <v>1490</v>
      </c>
      <c r="I171" s="39" t="s">
        <v>909</v>
      </c>
      <c r="J171" s="40" t="s">
        <v>910</v>
      </c>
      <c r="K171" s="39" t="s">
        <v>307</v>
      </c>
      <c r="L171" s="39" t="s">
        <v>308</v>
      </c>
      <c r="M171" s="39">
        <v>1</v>
      </c>
      <c r="N171" s="39" t="s">
        <v>309</v>
      </c>
      <c r="O171" s="39"/>
      <c r="P171" s="39"/>
      <c r="Q171" s="39"/>
      <c r="R171" s="41"/>
      <c r="S171" s="39"/>
      <c r="T171" s="41" t="s">
        <v>911</v>
      </c>
      <c r="U171" s="40" t="s">
        <v>912</v>
      </c>
      <c r="V171" s="41"/>
      <c r="W171" s="40" t="s">
        <v>832</v>
      </c>
      <c r="X171" s="42" t="s">
        <v>833</v>
      </c>
      <c r="Y171" s="42" t="s">
        <v>267</v>
      </c>
      <c r="Z171" s="43"/>
      <c r="AA171" s="44" t="s">
        <v>834</v>
      </c>
      <c r="AB171" s="38" t="str">
        <f t="shared" si="2"/>
        <v>5D30500000</v>
      </c>
    </row>
    <row r="172" spans="4:28" ht="33" customHeight="1">
      <c r="D172" s="39"/>
      <c r="E172" s="45"/>
      <c r="F172" s="39">
        <v>200</v>
      </c>
      <c r="G172" s="39" t="s">
        <v>711</v>
      </c>
      <c r="H172" s="39">
        <v>1500</v>
      </c>
      <c r="I172" s="39" t="s">
        <v>913</v>
      </c>
      <c r="J172" s="40" t="s">
        <v>914</v>
      </c>
      <c r="K172" s="39" t="s">
        <v>262</v>
      </c>
      <c r="L172" s="39" t="s">
        <v>263</v>
      </c>
      <c r="M172" s="39">
        <v>4</v>
      </c>
      <c r="N172" s="39" t="s">
        <v>273</v>
      </c>
      <c r="O172" s="39" t="s">
        <v>915</v>
      </c>
      <c r="P172" s="39" t="s">
        <v>916</v>
      </c>
      <c r="Q172" s="39"/>
      <c r="R172" s="41"/>
      <c r="S172" s="39"/>
      <c r="T172" s="41" t="s">
        <v>917</v>
      </c>
      <c r="U172" s="40" t="s">
        <v>918</v>
      </c>
      <c r="V172" s="41"/>
      <c r="W172" s="40"/>
      <c r="X172" s="42"/>
      <c r="Y172" s="42" t="s">
        <v>267</v>
      </c>
      <c r="Z172" s="43"/>
      <c r="AA172" s="44"/>
      <c r="AB172" s="38" t="str">
        <f t="shared" si="2"/>
        <v>9C31000000</v>
      </c>
    </row>
    <row r="173" spans="4:28" ht="33" customHeight="1">
      <c r="D173" s="39"/>
      <c r="E173" s="45"/>
      <c r="F173" s="39">
        <v>200</v>
      </c>
      <c r="G173" s="39" t="s">
        <v>711</v>
      </c>
      <c r="H173" s="39">
        <v>1510</v>
      </c>
      <c r="I173" s="39" t="s">
        <v>919</v>
      </c>
      <c r="J173" s="40" t="s">
        <v>920</v>
      </c>
      <c r="K173" s="39" t="s">
        <v>262</v>
      </c>
      <c r="L173" s="39" t="s">
        <v>263</v>
      </c>
      <c r="M173" s="39">
        <v>4</v>
      </c>
      <c r="N173" s="39" t="s">
        <v>273</v>
      </c>
      <c r="O173" s="39" t="s">
        <v>915</v>
      </c>
      <c r="P173" s="39" t="s">
        <v>916</v>
      </c>
      <c r="Q173" s="39"/>
      <c r="R173" s="41"/>
      <c r="S173" s="39"/>
      <c r="T173" s="41" t="s">
        <v>921</v>
      </c>
      <c r="U173" s="40" t="s">
        <v>922</v>
      </c>
      <c r="V173" s="41"/>
      <c r="W173" s="40"/>
      <c r="X173" s="42"/>
      <c r="Y173" s="42" t="s">
        <v>267</v>
      </c>
      <c r="Z173" s="43"/>
      <c r="AA173" s="44"/>
      <c r="AB173" s="38" t="str">
        <f t="shared" si="2"/>
        <v>9C32000000</v>
      </c>
    </row>
    <row r="174" spans="4:28" ht="33" customHeight="1">
      <c r="D174" s="39"/>
      <c r="E174" s="45"/>
      <c r="F174" s="39">
        <v>200</v>
      </c>
      <c r="G174" s="39" t="s">
        <v>711</v>
      </c>
      <c r="H174" s="39">
        <v>1520</v>
      </c>
      <c r="I174" s="39" t="s">
        <v>923</v>
      </c>
      <c r="J174" s="40" t="s">
        <v>924</v>
      </c>
      <c r="K174" s="39" t="s">
        <v>262</v>
      </c>
      <c r="L174" s="39" t="s">
        <v>263</v>
      </c>
      <c r="M174" s="39">
        <v>5</v>
      </c>
      <c r="N174" s="39" t="s">
        <v>264</v>
      </c>
      <c r="O174" s="39" t="s">
        <v>297</v>
      </c>
      <c r="P174" s="39" t="s">
        <v>297</v>
      </c>
      <c r="Q174" s="39"/>
      <c r="R174" s="41"/>
      <c r="S174" s="39"/>
      <c r="T174" s="41" t="s">
        <v>925</v>
      </c>
      <c r="U174" s="40" t="s">
        <v>926</v>
      </c>
      <c r="V174" s="41"/>
      <c r="W174" s="40"/>
      <c r="X174" s="42"/>
      <c r="Y174" s="42" t="s">
        <v>267</v>
      </c>
      <c r="Z174" s="43"/>
      <c r="AA174" s="44"/>
      <c r="AB174" s="38" t="str">
        <f t="shared" si="2"/>
        <v>9C33000000</v>
      </c>
    </row>
    <row r="175" spans="4:28" ht="33" customHeight="1">
      <c r="D175" s="39"/>
      <c r="E175" s="45"/>
      <c r="F175" s="39">
        <v>200</v>
      </c>
      <c r="G175" s="39" t="s">
        <v>711</v>
      </c>
      <c r="H175" s="39">
        <v>1530</v>
      </c>
      <c r="I175" s="39" t="s">
        <v>927</v>
      </c>
      <c r="J175" s="40" t="s">
        <v>928</v>
      </c>
      <c r="K175" s="39" t="s">
        <v>262</v>
      </c>
      <c r="L175" s="39" t="s">
        <v>263</v>
      </c>
      <c r="M175" s="39">
        <v>5</v>
      </c>
      <c r="N175" s="39" t="s">
        <v>264</v>
      </c>
      <c r="O175" s="39" t="s">
        <v>297</v>
      </c>
      <c r="P175" s="39" t="s">
        <v>297</v>
      </c>
      <c r="Q175" s="39"/>
      <c r="R175" s="41"/>
      <c r="S175" s="39"/>
      <c r="T175" s="41" t="s">
        <v>929</v>
      </c>
      <c r="U175" s="40" t="s">
        <v>930</v>
      </c>
      <c r="V175" s="41"/>
      <c r="W175" s="40"/>
      <c r="X175" s="42"/>
      <c r="Y175" s="42" t="s">
        <v>267</v>
      </c>
      <c r="Z175" s="43"/>
      <c r="AA175" s="44"/>
      <c r="AB175" s="38" t="str">
        <f t="shared" si="2"/>
        <v>9C38000000</v>
      </c>
    </row>
    <row r="176" spans="4:28" ht="33" customHeight="1">
      <c r="D176" s="39"/>
      <c r="E176" s="45"/>
      <c r="F176" s="39">
        <v>200</v>
      </c>
      <c r="G176" s="39" t="s">
        <v>711</v>
      </c>
      <c r="H176" s="39">
        <v>1540</v>
      </c>
      <c r="I176" s="39" t="s">
        <v>931</v>
      </c>
      <c r="J176" s="40" t="s">
        <v>932</v>
      </c>
      <c r="K176" s="39" t="s">
        <v>262</v>
      </c>
      <c r="L176" s="39" t="s">
        <v>263</v>
      </c>
      <c r="M176" s="39">
        <v>4</v>
      </c>
      <c r="N176" s="39" t="s">
        <v>933</v>
      </c>
      <c r="O176" s="39"/>
      <c r="P176" s="39"/>
      <c r="Q176" s="39"/>
      <c r="R176" s="41"/>
      <c r="S176" s="39"/>
      <c r="T176" s="41" t="s">
        <v>934</v>
      </c>
      <c r="U176" s="40" t="s">
        <v>29</v>
      </c>
      <c r="V176" s="41"/>
      <c r="W176" s="40"/>
      <c r="X176" s="42"/>
      <c r="Y176" s="42" t="s">
        <v>267</v>
      </c>
      <c r="Z176" s="43"/>
      <c r="AA176" s="44"/>
      <c r="AB176" s="38" t="str">
        <f t="shared" si="2"/>
        <v>9E16016210</v>
      </c>
    </row>
    <row r="177" spans="4:28" ht="33" customHeight="1">
      <c r="D177" s="39"/>
      <c r="E177" s="45"/>
      <c r="F177" s="39">
        <v>200</v>
      </c>
      <c r="G177" s="39" t="s">
        <v>711</v>
      </c>
      <c r="H177" s="39">
        <v>1550</v>
      </c>
      <c r="I177" s="39" t="s">
        <v>935</v>
      </c>
      <c r="J177" s="40" t="s">
        <v>936</v>
      </c>
      <c r="K177" s="39" t="s">
        <v>262</v>
      </c>
      <c r="L177" s="39" t="s">
        <v>263</v>
      </c>
      <c r="M177" s="39">
        <v>4</v>
      </c>
      <c r="N177" s="39" t="s">
        <v>933</v>
      </c>
      <c r="O177" s="39"/>
      <c r="P177" s="39"/>
      <c r="Q177" s="39"/>
      <c r="R177" s="41"/>
      <c r="S177" s="39"/>
      <c r="T177" s="41" t="s">
        <v>934</v>
      </c>
      <c r="U177" s="40" t="s">
        <v>29</v>
      </c>
      <c r="V177" s="41"/>
      <c r="W177" s="40"/>
      <c r="X177" s="42"/>
      <c r="Y177" s="42" t="s">
        <v>267</v>
      </c>
      <c r="Z177" s="43"/>
      <c r="AA177" s="44"/>
      <c r="AB177" s="38" t="str">
        <f t="shared" si="2"/>
        <v>9E16016250</v>
      </c>
    </row>
    <row r="178" spans="4:28" ht="33" customHeight="1">
      <c r="D178" s="39"/>
      <c r="E178" s="45"/>
      <c r="F178" s="39">
        <v>200</v>
      </c>
      <c r="G178" s="39" t="s">
        <v>711</v>
      </c>
      <c r="H178" s="39">
        <v>1560</v>
      </c>
      <c r="I178" s="39" t="s">
        <v>937</v>
      </c>
      <c r="J178" s="40" t="s">
        <v>938</v>
      </c>
      <c r="K178" s="39" t="s">
        <v>262</v>
      </c>
      <c r="L178" s="39" t="s">
        <v>263</v>
      </c>
      <c r="M178" s="39">
        <v>4</v>
      </c>
      <c r="N178" s="39" t="s">
        <v>933</v>
      </c>
      <c r="O178" s="39"/>
      <c r="P178" s="39"/>
      <c r="Q178" s="39"/>
      <c r="R178" s="41"/>
      <c r="S178" s="39"/>
      <c r="T178" s="41" t="s">
        <v>934</v>
      </c>
      <c r="U178" s="40" t="s">
        <v>29</v>
      </c>
      <c r="V178" s="41"/>
      <c r="W178" s="40"/>
      <c r="X178" s="42"/>
      <c r="Y178" s="42" t="s">
        <v>267</v>
      </c>
      <c r="Z178" s="43"/>
      <c r="AA178" s="44"/>
      <c r="AB178" s="38" t="str">
        <f t="shared" si="2"/>
        <v>9E16016220</v>
      </c>
    </row>
    <row r="179" spans="4:28" ht="33" customHeight="1">
      <c r="D179" s="39"/>
      <c r="E179" s="45"/>
      <c r="F179" s="39">
        <v>200</v>
      </c>
      <c r="G179" s="39" t="s">
        <v>711</v>
      </c>
      <c r="H179" s="39">
        <v>1570</v>
      </c>
      <c r="I179" s="39" t="s">
        <v>939</v>
      </c>
      <c r="J179" s="40" t="s">
        <v>940</v>
      </c>
      <c r="K179" s="39" t="s">
        <v>262</v>
      </c>
      <c r="L179" s="39" t="s">
        <v>263</v>
      </c>
      <c r="M179" s="39">
        <v>4</v>
      </c>
      <c r="N179" s="39" t="s">
        <v>933</v>
      </c>
      <c r="O179" s="39"/>
      <c r="P179" s="39"/>
      <c r="Q179" s="39"/>
      <c r="R179" s="41"/>
      <c r="S179" s="39"/>
      <c r="T179" s="41" t="s">
        <v>934</v>
      </c>
      <c r="U179" s="40" t="s">
        <v>29</v>
      </c>
      <c r="V179" s="41"/>
      <c r="W179" s="40"/>
      <c r="X179" s="42"/>
      <c r="Y179" s="42" t="s">
        <v>267</v>
      </c>
      <c r="Z179" s="43"/>
      <c r="AA179" s="44"/>
      <c r="AB179" s="38" t="str">
        <f t="shared" si="2"/>
        <v>9E16016260</v>
      </c>
    </row>
    <row r="180" spans="4:28" ht="33" customHeight="1">
      <c r="D180" s="39"/>
      <c r="E180" s="45"/>
      <c r="F180" s="39">
        <v>200</v>
      </c>
      <c r="G180" s="39" t="s">
        <v>711</v>
      </c>
      <c r="H180" s="39">
        <v>1580</v>
      </c>
      <c r="I180" s="39" t="s">
        <v>941</v>
      </c>
      <c r="J180" s="40" t="s">
        <v>942</v>
      </c>
      <c r="K180" s="39" t="s">
        <v>307</v>
      </c>
      <c r="L180" s="39" t="s">
        <v>308</v>
      </c>
      <c r="M180" s="39">
        <v>1</v>
      </c>
      <c r="N180" s="39" t="s">
        <v>309</v>
      </c>
      <c r="O180" s="39"/>
      <c r="P180" s="39"/>
      <c r="Q180" s="39"/>
      <c r="R180" s="41"/>
      <c r="S180" s="39"/>
      <c r="T180" s="41" t="s">
        <v>943</v>
      </c>
      <c r="U180" s="40" t="s">
        <v>944</v>
      </c>
      <c r="V180" s="41"/>
      <c r="W180" s="40"/>
      <c r="X180" s="42" t="s">
        <v>627</v>
      </c>
      <c r="Y180" s="42" t="s">
        <v>267</v>
      </c>
      <c r="Z180" s="43"/>
      <c r="AA180" s="44" t="s">
        <v>628</v>
      </c>
      <c r="AB180" s="38" t="str">
        <f t="shared" si="2"/>
        <v>9D10016310</v>
      </c>
    </row>
    <row r="181" spans="4:28" ht="33" customHeight="1">
      <c r="D181" s="39"/>
      <c r="E181" s="45"/>
      <c r="F181" s="39">
        <v>200</v>
      </c>
      <c r="G181" s="39" t="s">
        <v>711</v>
      </c>
      <c r="H181" s="39">
        <v>1590</v>
      </c>
      <c r="I181" s="39" t="s">
        <v>945</v>
      </c>
      <c r="J181" s="40" t="s">
        <v>946</v>
      </c>
      <c r="K181" s="39" t="s">
        <v>307</v>
      </c>
      <c r="L181" s="39" t="s">
        <v>308</v>
      </c>
      <c r="M181" s="39">
        <v>1</v>
      </c>
      <c r="N181" s="39" t="s">
        <v>309</v>
      </c>
      <c r="O181" s="39"/>
      <c r="P181" s="39"/>
      <c r="Q181" s="39"/>
      <c r="R181" s="41"/>
      <c r="S181" s="39"/>
      <c r="T181" s="41" t="s">
        <v>943</v>
      </c>
      <c r="U181" s="40" t="s">
        <v>944</v>
      </c>
      <c r="V181" s="41"/>
      <c r="W181" s="40"/>
      <c r="X181" s="42" t="s">
        <v>627</v>
      </c>
      <c r="Y181" s="42" t="s">
        <v>267</v>
      </c>
      <c r="Z181" s="43"/>
      <c r="AA181" s="44" t="s">
        <v>628</v>
      </c>
      <c r="AB181" s="38" t="str">
        <f t="shared" si="2"/>
        <v>9D10016320</v>
      </c>
    </row>
    <row r="182" spans="4:28" ht="33" customHeight="1">
      <c r="D182" s="39"/>
      <c r="E182" s="45"/>
      <c r="F182" s="39">
        <v>200</v>
      </c>
      <c r="G182" s="39" t="s">
        <v>711</v>
      </c>
      <c r="H182" s="39">
        <v>1600</v>
      </c>
      <c r="I182" s="39" t="s">
        <v>947</v>
      </c>
      <c r="J182" s="40" t="s">
        <v>948</v>
      </c>
      <c r="K182" s="39" t="s">
        <v>307</v>
      </c>
      <c r="L182" s="39" t="s">
        <v>308</v>
      </c>
      <c r="M182" s="39">
        <v>1</v>
      </c>
      <c r="N182" s="39" t="s">
        <v>309</v>
      </c>
      <c r="O182" s="39"/>
      <c r="P182" s="39"/>
      <c r="Q182" s="39"/>
      <c r="R182" s="41"/>
      <c r="S182" s="39"/>
      <c r="T182" s="41" t="s">
        <v>943</v>
      </c>
      <c r="U182" s="40" t="s">
        <v>944</v>
      </c>
      <c r="V182" s="41"/>
      <c r="W182" s="40"/>
      <c r="X182" s="42" t="s">
        <v>627</v>
      </c>
      <c r="Y182" s="42" t="s">
        <v>267</v>
      </c>
      <c r="Z182" s="43"/>
      <c r="AA182" s="44" t="s">
        <v>628</v>
      </c>
      <c r="AB182" s="38" t="str">
        <f t="shared" si="2"/>
        <v>9D10016350</v>
      </c>
    </row>
    <row r="183" spans="4:28" ht="33" customHeight="1">
      <c r="D183" s="39"/>
      <c r="E183" s="45"/>
      <c r="F183" s="39">
        <v>200</v>
      </c>
      <c r="G183" s="39" t="s">
        <v>711</v>
      </c>
      <c r="H183" s="39">
        <v>1610</v>
      </c>
      <c r="I183" s="39" t="s">
        <v>949</v>
      </c>
      <c r="J183" s="40" t="s">
        <v>950</v>
      </c>
      <c r="K183" s="39" t="s">
        <v>307</v>
      </c>
      <c r="L183" s="39" t="s">
        <v>308</v>
      </c>
      <c r="M183" s="39">
        <v>1</v>
      </c>
      <c r="N183" s="39" t="s">
        <v>309</v>
      </c>
      <c r="O183" s="39"/>
      <c r="P183" s="39"/>
      <c r="Q183" s="39"/>
      <c r="R183" s="41"/>
      <c r="S183" s="39"/>
      <c r="T183" s="41" t="s">
        <v>943</v>
      </c>
      <c r="U183" s="40" t="s">
        <v>944</v>
      </c>
      <c r="V183" s="41"/>
      <c r="W183" s="40"/>
      <c r="X183" s="42" t="s">
        <v>627</v>
      </c>
      <c r="Y183" s="42" t="s">
        <v>267</v>
      </c>
      <c r="Z183" s="43"/>
      <c r="AA183" s="44" t="s">
        <v>628</v>
      </c>
      <c r="AB183" s="38" t="str">
        <f t="shared" si="2"/>
        <v>9D10016360</v>
      </c>
    </row>
    <row r="184" spans="4:28" ht="33" customHeight="1">
      <c r="D184" s="39"/>
      <c r="E184" s="45"/>
      <c r="F184" s="39">
        <v>200</v>
      </c>
      <c r="G184" s="39" t="s">
        <v>711</v>
      </c>
      <c r="H184" s="39">
        <v>1660</v>
      </c>
      <c r="I184" s="39" t="s">
        <v>951</v>
      </c>
      <c r="J184" s="40" t="s">
        <v>952</v>
      </c>
      <c r="K184" s="39" t="s">
        <v>307</v>
      </c>
      <c r="L184" s="39" t="s">
        <v>308</v>
      </c>
      <c r="M184" s="39">
        <v>1</v>
      </c>
      <c r="N184" s="39" t="s">
        <v>309</v>
      </c>
      <c r="O184" s="39"/>
      <c r="P184" s="39"/>
      <c r="Q184" s="39"/>
      <c r="R184" s="41"/>
      <c r="S184" s="39"/>
      <c r="T184" s="41" t="s">
        <v>943</v>
      </c>
      <c r="U184" s="40" t="s">
        <v>944</v>
      </c>
      <c r="V184" s="41"/>
      <c r="W184" s="40"/>
      <c r="X184" s="42" t="s">
        <v>953</v>
      </c>
      <c r="Y184" s="42" t="s">
        <v>267</v>
      </c>
      <c r="Z184" s="43"/>
      <c r="AA184" s="44" t="s">
        <v>954</v>
      </c>
      <c r="AB184" s="38" t="str">
        <f t="shared" si="2"/>
        <v>9D10016400</v>
      </c>
    </row>
    <row r="185" spans="4:28" ht="33" customHeight="1">
      <c r="D185" s="39"/>
      <c r="E185" s="45"/>
      <c r="F185" s="39">
        <v>200</v>
      </c>
      <c r="G185" s="39" t="s">
        <v>711</v>
      </c>
      <c r="H185" s="39">
        <v>1670</v>
      </c>
      <c r="I185" s="39" t="s">
        <v>955</v>
      </c>
      <c r="J185" s="40" t="s">
        <v>956</v>
      </c>
      <c r="K185" s="39" t="s">
        <v>302</v>
      </c>
      <c r="L185" s="39" t="s">
        <v>303</v>
      </c>
      <c r="M185" s="39">
        <v>256</v>
      </c>
      <c r="N185" s="39"/>
      <c r="O185" s="39"/>
      <c r="P185" s="39"/>
      <c r="Q185" s="39"/>
      <c r="R185" s="41"/>
      <c r="S185" s="39"/>
      <c r="T185" s="41" t="s">
        <v>943</v>
      </c>
      <c r="U185" s="40" t="s">
        <v>944</v>
      </c>
      <c r="V185" s="41"/>
      <c r="W185" s="40"/>
      <c r="X185" s="42"/>
      <c r="Y185" s="42" t="s">
        <v>267</v>
      </c>
      <c r="Z185" s="43"/>
      <c r="AA185" s="44"/>
      <c r="AB185" s="38" t="str">
        <f t="shared" si="2"/>
        <v>9D10016090</v>
      </c>
    </row>
    <row r="186" spans="4:28" ht="33" customHeight="1">
      <c r="D186" s="39" t="s">
        <v>498</v>
      </c>
      <c r="E186" s="39" t="s">
        <v>499</v>
      </c>
      <c r="F186" s="39">
        <v>200</v>
      </c>
      <c r="G186" s="39" t="s">
        <v>711</v>
      </c>
      <c r="H186" s="39">
        <v>1680</v>
      </c>
      <c r="I186" s="39" t="s">
        <v>957</v>
      </c>
      <c r="J186" s="40" t="s">
        <v>958</v>
      </c>
      <c r="K186" s="39" t="s">
        <v>307</v>
      </c>
      <c r="L186" s="39" t="s">
        <v>602</v>
      </c>
      <c r="M186" s="39">
        <v>1</v>
      </c>
      <c r="N186" s="39" t="s">
        <v>309</v>
      </c>
      <c r="O186" s="39"/>
      <c r="P186" s="39"/>
      <c r="Q186" s="39"/>
      <c r="R186" s="41" t="s">
        <v>959</v>
      </c>
      <c r="S186" s="39" t="s">
        <v>504</v>
      </c>
      <c r="T186" s="41" t="s">
        <v>960</v>
      </c>
      <c r="U186" s="40" t="s">
        <v>961</v>
      </c>
      <c r="V186" s="41"/>
      <c r="W186" s="40"/>
      <c r="X186" s="42" t="s">
        <v>962</v>
      </c>
      <c r="Y186" s="42" t="s">
        <v>267</v>
      </c>
      <c r="Z186" s="43"/>
      <c r="AA186" s="44" t="s">
        <v>963</v>
      </c>
      <c r="AB186" s="38" t="str">
        <f t="shared" si="2"/>
        <v>9E10016600</v>
      </c>
    </row>
    <row r="187" spans="4:28" ht="33" customHeight="1">
      <c r="D187" s="39" t="s">
        <v>498</v>
      </c>
      <c r="E187" s="39" t="s">
        <v>499</v>
      </c>
      <c r="F187" s="39">
        <v>200</v>
      </c>
      <c r="G187" s="39" t="s">
        <v>711</v>
      </c>
      <c r="H187" s="39">
        <v>1690</v>
      </c>
      <c r="I187" s="39" t="s">
        <v>964</v>
      </c>
      <c r="J187" s="40" t="s">
        <v>965</v>
      </c>
      <c r="K187" s="39" t="s">
        <v>307</v>
      </c>
      <c r="L187" s="39" t="s">
        <v>602</v>
      </c>
      <c r="M187" s="39">
        <v>1</v>
      </c>
      <c r="N187" s="39" t="s">
        <v>309</v>
      </c>
      <c r="O187" s="39"/>
      <c r="P187" s="39"/>
      <c r="Q187" s="39"/>
      <c r="R187" s="41" t="s">
        <v>959</v>
      </c>
      <c r="S187" s="39" t="s">
        <v>504</v>
      </c>
      <c r="T187" s="41" t="s">
        <v>960</v>
      </c>
      <c r="U187" s="40" t="s">
        <v>961</v>
      </c>
      <c r="V187" s="41"/>
      <c r="W187" s="40"/>
      <c r="X187" s="42" t="s">
        <v>966</v>
      </c>
      <c r="Y187" s="42" t="s">
        <v>267</v>
      </c>
      <c r="Z187" s="43"/>
      <c r="AA187" s="44" t="s">
        <v>967</v>
      </c>
      <c r="AB187" s="38" t="str">
        <f t="shared" si="2"/>
        <v>9E10016610</v>
      </c>
    </row>
    <row r="188" spans="4:28" ht="33" customHeight="1">
      <c r="D188" s="39" t="s">
        <v>498</v>
      </c>
      <c r="E188" s="39" t="s">
        <v>499</v>
      </c>
      <c r="F188" s="39">
        <v>200</v>
      </c>
      <c r="G188" s="39" t="s">
        <v>711</v>
      </c>
      <c r="H188" s="39">
        <v>1700</v>
      </c>
      <c r="I188" s="39" t="s">
        <v>968</v>
      </c>
      <c r="J188" s="40" t="s">
        <v>969</v>
      </c>
      <c r="K188" s="39" t="s">
        <v>307</v>
      </c>
      <c r="L188" s="39" t="s">
        <v>602</v>
      </c>
      <c r="M188" s="39">
        <v>1</v>
      </c>
      <c r="N188" s="39" t="s">
        <v>309</v>
      </c>
      <c r="O188" s="39"/>
      <c r="P188" s="39"/>
      <c r="Q188" s="39"/>
      <c r="R188" s="41" t="s">
        <v>959</v>
      </c>
      <c r="S188" s="39" t="s">
        <v>504</v>
      </c>
      <c r="T188" s="41" t="s">
        <v>960</v>
      </c>
      <c r="U188" s="40" t="s">
        <v>961</v>
      </c>
      <c r="V188" s="41"/>
      <c r="W188" s="40"/>
      <c r="X188" s="42" t="s">
        <v>970</v>
      </c>
      <c r="Y188" s="42" t="s">
        <v>267</v>
      </c>
      <c r="Z188" s="43"/>
      <c r="AA188" s="44" t="s">
        <v>967</v>
      </c>
      <c r="AB188" s="38" t="str">
        <f t="shared" si="2"/>
        <v>9E10016620</v>
      </c>
    </row>
    <row r="189" spans="4:28" ht="55.5" customHeight="1">
      <c r="D189" s="39" t="s">
        <v>498</v>
      </c>
      <c r="E189" s="39" t="s">
        <v>499</v>
      </c>
      <c r="F189" s="39">
        <v>200</v>
      </c>
      <c r="G189" s="39" t="s">
        <v>711</v>
      </c>
      <c r="H189" s="39">
        <v>1710</v>
      </c>
      <c r="I189" s="39" t="s">
        <v>971</v>
      </c>
      <c r="J189" s="40" t="s">
        <v>972</v>
      </c>
      <c r="K189" s="39" t="s">
        <v>307</v>
      </c>
      <c r="L189" s="39" t="s">
        <v>602</v>
      </c>
      <c r="M189" s="39">
        <v>1</v>
      </c>
      <c r="N189" s="39" t="s">
        <v>309</v>
      </c>
      <c r="O189" s="39"/>
      <c r="P189" s="39"/>
      <c r="Q189" s="39"/>
      <c r="R189" s="41" t="s">
        <v>959</v>
      </c>
      <c r="S189" s="39" t="s">
        <v>504</v>
      </c>
      <c r="T189" s="41" t="s">
        <v>960</v>
      </c>
      <c r="U189" s="40" t="s">
        <v>961</v>
      </c>
      <c r="V189" s="41"/>
      <c r="W189" s="40"/>
      <c r="X189" s="42" t="s">
        <v>973</v>
      </c>
      <c r="Y189" s="42" t="s">
        <v>267</v>
      </c>
      <c r="Z189" s="43"/>
      <c r="AA189" s="44" t="s">
        <v>974</v>
      </c>
      <c r="AB189" s="38" t="str">
        <f t="shared" si="2"/>
        <v>9E10016630</v>
      </c>
    </row>
    <row r="190" spans="4:28" ht="33" customHeight="1">
      <c r="D190" s="39" t="s">
        <v>498</v>
      </c>
      <c r="E190" s="39" t="s">
        <v>499</v>
      </c>
      <c r="F190" s="39">
        <v>200</v>
      </c>
      <c r="G190" s="39" t="s">
        <v>711</v>
      </c>
      <c r="H190" s="39">
        <v>1711</v>
      </c>
      <c r="I190" s="39" t="s">
        <v>975</v>
      </c>
      <c r="J190" s="40" t="s">
        <v>976</v>
      </c>
      <c r="K190" s="39" t="s">
        <v>307</v>
      </c>
      <c r="L190" s="39" t="s">
        <v>602</v>
      </c>
      <c r="M190" s="39">
        <v>1</v>
      </c>
      <c r="N190" s="39" t="s">
        <v>309</v>
      </c>
      <c r="O190" s="39"/>
      <c r="P190" s="39"/>
      <c r="Q190" s="39"/>
      <c r="R190" s="41" t="s">
        <v>959</v>
      </c>
      <c r="S190" s="39" t="s">
        <v>504</v>
      </c>
      <c r="T190" s="41" t="s">
        <v>960</v>
      </c>
      <c r="U190" s="40" t="s">
        <v>961</v>
      </c>
      <c r="V190" s="41"/>
      <c r="W190" s="40"/>
      <c r="X190" s="42" t="s">
        <v>977</v>
      </c>
      <c r="Y190" s="42" t="s">
        <v>267</v>
      </c>
      <c r="Z190" s="43" t="s">
        <v>444</v>
      </c>
      <c r="AA190" s="44" t="s">
        <v>978</v>
      </c>
      <c r="AB190" s="38" t="str">
        <f t="shared" si="2"/>
        <v>9E10016660</v>
      </c>
    </row>
    <row r="191" spans="4:28" ht="33" customHeight="1">
      <c r="D191" s="39" t="s">
        <v>498</v>
      </c>
      <c r="E191" s="39" t="s">
        <v>499</v>
      </c>
      <c r="F191" s="39">
        <v>200</v>
      </c>
      <c r="G191" s="39" t="s">
        <v>711</v>
      </c>
      <c r="H191" s="39">
        <v>1712</v>
      </c>
      <c r="I191" s="39" t="s">
        <v>979</v>
      </c>
      <c r="J191" s="40" t="s">
        <v>980</v>
      </c>
      <c r="K191" s="39" t="s">
        <v>307</v>
      </c>
      <c r="L191" s="39" t="s">
        <v>602</v>
      </c>
      <c r="M191" s="39">
        <v>1</v>
      </c>
      <c r="N191" s="39" t="s">
        <v>309</v>
      </c>
      <c r="O191" s="39"/>
      <c r="P191" s="39"/>
      <c r="Q191" s="39"/>
      <c r="R191" s="41" t="s">
        <v>959</v>
      </c>
      <c r="S191" s="39" t="s">
        <v>504</v>
      </c>
      <c r="T191" s="41" t="s">
        <v>960</v>
      </c>
      <c r="U191" s="40" t="s">
        <v>961</v>
      </c>
      <c r="V191" s="41"/>
      <c r="W191" s="40"/>
      <c r="X191" s="42" t="s">
        <v>981</v>
      </c>
      <c r="Y191" s="42" t="s">
        <v>267</v>
      </c>
      <c r="Z191" s="43" t="s">
        <v>444</v>
      </c>
      <c r="AA191" s="44" t="s">
        <v>982</v>
      </c>
      <c r="AB191" s="38" t="str">
        <f t="shared" si="2"/>
        <v>9E10016650</v>
      </c>
    </row>
    <row r="192" spans="4:28" ht="33" customHeight="1">
      <c r="D192" s="39" t="s">
        <v>498</v>
      </c>
      <c r="E192" s="39" t="s">
        <v>499</v>
      </c>
      <c r="F192" s="39">
        <v>200</v>
      </c>
      <c r="G192" s="39" t="s">
        <v>711</v>
      </c>
      <c r="H192" s="39">
        <v>1720</v>
      </c>
      <c r="I192" s="39" t="s">
        <v>983</v>
      </c>
      <c r="J192" s="40" t="s">
        <v>984</v>
      </c>
      <c r="K192" s="39" t="s">
        <v>302</v>
      </c>
      <c r="L192" s="39" t="s">
        <v>303</v>
      </c>
      <c r="M192" s="39">
        <v>256</v>
      </c>
      <c r="N192" s="39"/>
      <c r="O192" s="39"/>
      <c r="P192" s="39"/>
      <c r="Q192" s="39"/>
      <c r="R192" s="41" t="s">
        <v>959</v>
      </c>
      <c r="S192" s="39" t="s">
        <v>504</v>
      </c>
      <c r="T192" s="41" t="s">
        <v>960</v>
      </c>
      <c r="U192" s="40" t="s">
        <v>961</v>
      </c>
      <c r="V192" s="41"/>
      <c r="W192" s="40"/>
      <c r="X192" s="42"/>
      <c r="Y192" s="42" t="s">
        <v>267</v>
      </c>
      <c r="Z192" s="43"/>
      <c r="AA192" s="44" t="s">
        <v>985</v>
      </c>
      <c r="AB192" s="38" t="str">
        <f t="shared" si="2"/>
        <v>9E10016090</v>
      </c>
    </row>
    <row r="193" spans="4:28" ht="33" customHeight="1">
      <c r="D193" s="39" t="s">
        <v>498</v>
      </c>
      <c r="E193" s="39" t="s">
        <v>499</v>
      </c>
      <c r="F193" s="39">
        <v>200</v>
      </c>
      <c r="G193" s="39" t="s">
        <v>711</v>
      </c>
      <c r="H193" s="39">
        <v>1725</v>
      </c>
      <c r="I193" s="39" t="s">
        <v>986</v>
      </c>
      <c r="J193" s="40" t="s">
        <v>987</v>
      </c>
      <c r="K193" s="39" t="s">
        <v>307</v>
      </c>
      <c r="L193" s="39" t="s">
        <v>308</v>
      </c>
      <c r="M193" s="39">
        <v>1</v>
      </c>
      <c r="N193" s="39" t="s">
        <v>309</v>
      </c>
      <c r="O193" s="39"/>
      <c r="P193" s="39"/>
      <c r="Q193" s="39"/>
      <c r="R193" s="41" t="s">
        <v>959</v>
      </c>
      <c r="S193" s="39" t="s">
        <v>512</v>
      </c>
      <c r="T193" s="41" t="s">
        <v>960</v>
      </c>
      <c r="U193" s="40" t="s">
        <v>961</v>
      </c>
      <c r="V193" s="41"/>
      <c r="W193" s="40"/>
      <c r="X193" s="42" t="s">
        <v>988</v>
      </c>
      <c r="Y193" s="42" t="s">
        <v>267</v>
      </c>
      <c r="Z193" s="43" t="s">
        <v>444</v>
      </c>
      <c r="AA193" s="44" t="s">
        <v>989</v>
      </c>
      <c r="AB193" s="38" t="str">
        <f t="shared" si="2"/>
        <v>9E10016160</v>
      </c>
    </row>
    <row r="194" spans="4:28" ht="33" customHeight="1">
      <c r="D194" s="39" t="s">
        <v>498</v>
      </c>
      <c r="E194" s="39" t="s">
        <v>499</v>
      </c>
      <c r="F194" s="39">
        <v>200</v>
      </c>
      <c r="G194" s="39" t="s">
        <v>711</v>
      </c>
      <c r="H194" s="39">
        <v>1730</v>
      </c>
      <c r="I194" s="39" t="s">
        <v>959</v>
      </c>
      <c r="J194" s="40" t="s">
        <v>990</v>
      </c>
      <c r="K194" s="39" t="s">
        <v>302</v>
      </c>
      <c r="L194" s="39" t="s">
        <v>303</v>
      </c>
      <c r="M194" s="39">
        <v>256</v>
      </c>
      <c r="N194" s="39"/>
      <c r="O194" s="39"/>
      <c r="P194" s="39"/>
      <c r="Q194" s="39"/>
      <c r="R194" s="41" t="s">
        <v>959</v>
      </c>
      <c r="S194" s="39" t="s">
        <v>512</v>
      </c>
      <c r="T194" s="41" t="s">
        <v>960</v>
      </c>
      <c r="U194" s="40" t="s">
        <v>961</v>
      </c>
      <c r="V194" s="41"/>
      <c r="W194" s="40"/>
      <c r="X194" s="42"/>
      <c r="Y194" s="42" t="s">
        <v>267</v>
      </c>
      <c r="Z194" s="43"/>
      <c r="AA194" s="44" t="s">
        <v>991</v>
      </c>
      <c r="AB194" s="38" t="str">
        <f t="shared" si="2"/>
        <v>9E10016100</v>
      </c>
    </row>
    <row r="195" spans="4:28" ht="33" customHeight="1">
      <c r="D195" s="39"/>
      <c r="E195" s="45"/>
      <c r="F195" s="39">
        <v>200</v>
      </c>
      <c r="G195" s="39" t="s">
        <v>711</v>
      </c>
      <c r="H195" s="39">
        <v>1740</v>
      </c>
      <c r="I195" s="39" t="s">
        <v>992</v>
      </c>
      <c r="J195" s="40" t="s">
        <v>993</v>
      </c>
      <c r="K195" s="39" t="s">
        <v>262</v>
      </c>
      <c r="L195" s="39" t="s">
        <v>263</v>
      </c>
      <c r="M195" s="39">
        <v>3</v>
      </c>
      <c r="N195" s="39" t="s">
        <v>349</v>
      </c>
      <c r="O195" s="39" t="s">
        <v>350</v>
      </c>
      <c r="P195" s="39" t="s">
        <v>351</v>
      </c>
      <c r="Q195" s="39"/>
      <c r="R195" s="41"/>
      <c r="S195" s="39"/>
      <c r="T195" s="41" t="s">
        <v>994</v>
      </c>
      <c r="U195" s="40" t="s">
        <v>995</v>
      </c>
      <c r="V195" s="41"/>
      <c r="W195" s="40"/>
      <c r="X195" s="42"/>
      <c r="Y195" s="42" t="s">
        <v>267</v>
      </c>
      <c r="Z195" s="43"/>
      <c r="AA195" s="44"/>
      <c r="AB195" s="38" t="str">
        <f t="shared" ref="AB195:AB258" si="3">LEFT(I195,10)</f>
        <v>9E10516210</v>
      </c>
    </row>
    <row r="196" spans="4:28" ht="33" customHeight="1">
      <c r="D196" s="39"/>
      <c r="E196" s="45"/>
      <c r="F196" s="39">
        <v>200</v>
      </c>
      <c r="G196" s="39" t="s">
        <v>711</v>
      </c>
      <c r="H196" s="39">
        <v>1750</v>
      </c>
      <c r="I196" s="39" t="s">
        <v>996</v>
      </c>
      <c r="J196" s="40" t="s">
        <v>997</v>
      </c>
      <c r="K196" s="39" t="s">
        <v>262</v>
      </c>
      <c r="L196" s="39" t="s">
        <v>263</v>
      </c>
      <c r="M196" s="39">
        <v>3</v>
      </c>
      <c r="N196" s="39" t="s">
        <v>349</v>
      </c>
      <c r="O196" s="39" t="s">
        <v>350</v>
      </c>
      <c r="P196" s="39" t="s">
        <v>351</v>
      </c>
      <c r="Q196" s="39"/>
      <c r="R196" s="41"/>
      <c r="S196" s="39"/>
      <c r="T196" s="41" t="s">
        <v>994</v>
      </c>
      <c r="U196" s="40" t="s">
        <v>995</v>
      </c>
      <c r="V196" s="41"/>
      <c r="W196" s="40"/>
      <c r="X196" s="42"/>
      <c r="Y196" s="42" t="s">
        <v>267</v>
      </c>
      <c r="Z196" s="43"/>
      <c r="AA196" s="44"/>
      <c r="AB196" s="38" t="str">
        <f t="shared" si="3"/>
        <v>9E10516220</v>
      </c>
    </row>
    <row r="197" spans="4:28" ht="33" customHeight="1">
      <c r="D197" s="39"/>
      <c r="E197" s="45"/>
      <c r="F197" s="39">
        <v>300</v>
      </c>
      <c r="G197" s="39" t="s">
        <v>998</v>
      </c>
      <c r="H197" s="39">
        <v>1760</v>
      </c>
      <c r="I197" s="39" t="s">
        <v>999</v>
      </c>
      <c r="J197" s="40" t="s">
        <v>1000</v>
      </c>
      <c r="K197" s="39" t="s">
        <v>262</v>
      </c>
      <c r="L197" s="39" t="s">
        <v>263</v>
      </c>
      <c r="M197" s="39">
        <v>5</v>
      </c>
      <c r="N197" s="39" t="s">
        <v>264</v>
      </c>
      <c r="O197" s="39" t="s">
        <v>392</v>
      </c>
      <c r="P197" s="39" t="s">
        <v>393</v>
      </c>
      <c r="Q197" s="39"/>
      <c r="R197" s="41"/>
      <c r="S197" s="39"/>
      <c r="T197" s="41" t="s">
        <v>1001</v>
      </c>
      <c r="U197" s="40" t="s">
        <v>1002</v>
      </c>
      <c r="V197" s="41" t="s">
        <v>1003</v>
      </c>
      <c r="W197" s="40" t="s">
        <v>1004</v>
      </c>
      <c r="X197" s="42"/>
      <c r="Y197" s="42" t="s">
        <v>267</v>
      </c>
      <c r="Z197" s="43"/>
      <c r="AA197" s="44"/>
      <c r="AB197" s="38" t="str">
        <f t="shared" si="3"/>
        <v>5C07000000</v>
      </c>
    </row>
    <row r="198" spans="4:28" ht="33" customHeight="1">
      <c r="D198" s="39"/>
      <c r="E198" s="45"/>
      <c r="F198" s="39">
        <v>300</v>
      </c>
      <c r="G198" s="39" t="s">
        <v>998</v>
      </c>
      <c r="H198" s="39">
        <v>1770</v>
      </c>
      <c r="I198" s="39" t="s">
        <v>1005</v>
      </c>
      <c r="J198" s="40" t="s">
        <v>1000</v>
      </c>
      <c r="K198" s="39" t="s">
        <v>262</v>
      </c>
      <c r="L198" s="39" t="s">
        <v>263</v>
      </c>
      <c r="M198" s="39">
        <v>5</v>
      </c>
      <c r="N198" s="39" t="s">
        <v>264</v>
      </c>
      <c r="O198" s="39" t="s">
        <v>392</v>
      </c>
      <c r="P198" s="39" t="s">
        <v>393</v>
      </c>
      <c r="Q198" s="39"/>
      <c r="R198" s="41"/>
      <c r="S198" s="39"/>
      <c r="T198" s="41" t="s">
        <v>1001</v>
      </c>
      <c r="U198" s="40" t="s">
        <v>1002</v>
      </c>
      <c r="V198" s="41" t="s">
        <v>1006</v>
      </c>
      <c r="W198" s="40" t="s">
        <v>1007</v>
      </c>
      <c r="X198" s="42"/>
      <c r="Y198" s="42" t="s">
        <v>267</v>
      </c>
      <c r="Z198" s="43"/>
      <c r="AA198" s="44"/>
      <c r="AB198" s="38" t="str">
        <f t="shared" si="3"/>
        <v>5C07000000</v>
      </c>
    </row>
    <row r="199" spans="4:28" ht="33" customHeight="1">
      <c r="D199" s="39"/>
      <c r="E199" s="45"/>
      <c r="F199" s="39">
        <v>300</v>
      </c>
      <c r="G199" s="39" t="s">
        <v>998</v>
      </c>
      <c r="H199" s="39">
        <v>1780</v>
      </c>
      <c r="I199" s="39" t="s">
        <v>1008</v>
      </c>
      <c r="J199" s="40" t="s">
        <v>1000</v>
      </c>
      <c r="K199" s="39" t="s">
        <v>262</v>
      </c>
      <c r="L199" s="39" t="s">
        <v>263</v>
      </c>
      <c r="M199" s="39">
        <v>5</v>
      </c>
      <c r="N199" s="39" t="s">
        <v>264</v>
      </c>
      <c r="O199" s="39" t="s">
        <v>392</v>
      </c>
      <c r="P199" s="39" t="s">
        <v>393</v>
      </c>
      <c r="Q199" s="39"/>
      <c r="R199" s="41"/>
      <c r="S199" s="39"/>
      <c r="T199" s="41" t="s">
        <v>1001</v>
      </c>
      <c r="U199" s="40" t="s">
        <v>1002</v>
      </c>
      <c r="V199" s="41" t="s">
        <v>1009</v>
      </c>
      <c r="W199" s="40" t="s">
        <v>355</v>
      </c>
      <c r="X199" s="42"/>
      <c r="Y199" s="42" t="s">
        <v>267</v>
      </c>
      <c r="Z199" s="43"/>
      <c r="AA199" s="44"/>
      <c r="AB199" s="38" t="str">
        <f t="shared" si="3"/>
        <v>5C07000000</v>
      </c>
    </row>
    <row r="200" spans="4:28" ht="33" customHeight="1">
      <c r="D200" s="39"/>
      <c r="E200" s="45"/>
      <c r="F200" s="39">
        <v>300</v>
      </c>
      <c r="G200" s="39" t="s">
        <v>998</v>
      </c>
      <c r="H200" s="39">
        <v>1790</v>
      </c>
      <c r="I200" s="39" t="s">
        <v>1010</v>
      </c>
      <c r="J200" s="40" t="s">
        <v>1011</v>
      </c>
      <c r="K200" s="39" t="s">
        <v>307</v>
      </c>
      <c r="L200" s="39" t="s">
        <v>308</v>
      </c>
      <c r="M200" s="39">
        <v>1</v>
      </c>
      <c r="N200" s="39" t="s">
        <v>309</v>
      </c>
      <c r="O200" s="39"/>
      <c r="P200" s="39"/>
      <c r="Q200" s="39"/>
      <c r="R200" s="41"/>
      <c r="S200" s="39"/>
      <c r="T200" s="41" t="s">
        <v>1012</v>
      </c>
      <c r="U200" s="40" t="s">
        <v>1013</v>
      </c>
      <c r="V200" s="41" t="s">
        <v>1014</v>
      </c>
      <c r="W200" s="40" t="s">
        <v>1015</v>
      </c>
      <c r="X200" s="42" t="s">
        <v>1016</v>
      </c>
      <c r="Y200" s="42" t="s">
        <v>267</v>
      </c>
      <c r="Z200" s="43"/>
      <c r="AA200" s="44" t="s">
        <v>1017</v>
      </c>
      <c r="AB200" s="38" t="str">
        <f t="shared" si="3"/>
        <v>5H01000000</v>
      </c>
    </row>
    <row r="201" spans="4:28" ht="33" customHeight="1">
      <c r="D201" s="39"/>
      <c r="E201" s="45"/>
      <c r="F201" s="39">
        <v>300</v>
      </c>
      <c r="G201" s="39" t="s">
        <v>998</v>
      </c>
      <c r="H201" s="39">
        <v>1800</v>
      </c>
      <c r="I201" s="39" t="s">
        <v>1018</v>
      </c>
      <c r="J201" s="40" t="s">
        <v>1011</v>
      </c>
      <c r="K201" s="39" t="s">
        <v>307</v>
      </c>
      <c r="L201" s="39" t="s">
        <v>308</v>
      </c>
      <c r="M201" s="39">
        <v>1</v>
      </c>
      <c r="N201" s="39" t="s">
        <v>309</v>
      </c>
      <c r="O201" s="39"/>
      <c r="P201" s="39"/>
      <c r="Q201" s="39"/>
      <c r="R201" s="41"/>
      <c r="S201" s="39"/>
      <c r="T201" s="41" t="s">
        <v>1012</v>
      </c>
      <c r="U201" s="40" t="s">
        <v>1013</v>
      </c>
      <c r="V201" s="41" t="s">
        <v>1019</v>
      </c>
      <c r="W201" s="40" t="s">
        <v>457</v>
      </c>
      <c r="X201" s="42" t="s">
        <v>1016</v>
      </c>
      <c r="Y201" s="42" t="s">
        <v>267</v>
      </c>
      <c r="Z201" s="43"/>
      <c r="AA201" s="44" t="s">
        <v>1017</v>
      </c>
      <c r="AB201" s="38" t="str">
        <f t="shared" si="3"/>
        <v>5H01000000</v>
      </c>
    </row>
    <row r="202" spans="4:28" ht="33" customHeight="1">
      <c r="D202" s="39"/>
      <c r="E202" s="45"/>
      <c r="F202" s="39">
        <v>300</v>
      </c>
      <c r="G202" s="39" t="s">
        <v>998</v>
      </c>
      <c r="H202" s="39">
        <v>1810</v>
      </c>
      <c r="I202" s="39" t="s">
        <v>1020</v>
      </c>
      <c r="J202" s="40" t="s">
        <v>1021</v>
      </c>
      <c r="K202" s="39" t="s">
        <v>307</v>
      </c>
      <c r="L202" s="39" t="s">
        <v>308</v>
      </c>
      <c r="M202" s="39">
        <v>1</v>
      </c>
      <c r="N202" s="39" t="s">
        <v>309</v>
      </c>
      <c r="O202" s="39"/>
      <c r="P202" s="39"/>
      <c r="Q202" s="39"/>
      <c r="R202" s="41"/>
      <c r="S202" s="39"/>
      <c r="T202" s="41" t="s">
        <v>1022</v>
      </c>
      <c r="U202" s="40" t="s">
        <v>1023</v>
      </c>
      <c r="V202" s="41" t="s">
        <v>1024</v>
      </c>
      <c r="W202" s="40" t="s">
        <v>1015</v>
      </c>
      <c r="X202" s="42" t="s">
        <v>1025</v>
      </c>
      <c r="Y202" s="42" t="s">
        <v>267</v>
      </c>
      <c r="Z202" s="43"/>
      <c r="AA202" s="44" t="s">
        <v>1026</v>
      </c>
      <c r="AB202" s="38" t="str">
        <f t="shared" si="3"/>
        <v>5H02000000</v>
      </c>
    </row>
    <row r="203" spans="4:28" ht="33" customHeight="1">
      <c r="D203" s="39"/>
      <c r="E203" s="45"/>
      <c r="F203" s="39">
        <v>300</v>
      </c>
      <c r="G203" s="39" t="s">
        <v>998</v>
      </c>
      <c r="H203" s="39">
        <v>1820</v>
      </c>
      <c r="I203" s="39" t="s">
        <v>1027</v>
      </c>
      <c r="J203" s="40" t="s">
        <v>1021</v>
      </c>
      <c r="K203" s="39" t="s">
        <v>307</v>
      </c>
      <c r="L203" s="39" t="s">
        <v>308</v>
      </c>
      <c r="M203" s="39">
        <v>1</v>
      </c>
      <c r="N203" s="39" t="s">
        <v>309</v>
      </c>
      <c r="O203" s="39"/>
      <c r="P203" s="39"/>
      <c r="Q203" s="39"/>
      <c r="R203" s="41"/>
      <c r="S203" s="39"/>
      <c r="T203" s="41" t="s">
        <v>1022</v>
      </c>
      <c r="U203" s="40" t="s">
        <v>1023</v>
      </c>
      <c r="V203" s="41" t="s">
        <v>1028</v>
      </c>
      <c r="W203" s="40" t="s">
        <v>457</v>
      </c>
      <c r="X203" s="42" t="s">
        <v>1025</v>
      </c>
      <c r="Y203" s="42" t="s">
        <v>267</v>
      </c>
      <c r="Z203" s="43"/>
      <c r="AA203" s="44" t="s">
        <v>1026</v>
      </c>
      <c r="AB203" s="38" t="str">
        <f t="shared" si="3"/>
        <v>5H02000000</v>
      </c>
    </row>
    <row r="204" spans="4:28" ht="33" customHeight="1">
      <c r="D204" s="39"/>
      <c r="E204" s="45"/>
      <c r="F204" s="39">
        <v>300</v>
      </c>
      <c r="G204" s="39" t="s">
        <v>998</v>
      </c>
      <c r="H204" s="39">
        <v>1830</v>
      </c>
      <c r="I204" s="39" t="s">
        <v>1029</v>
      </c>
      <c r="J204" s="40" t="s">
        <v>1030</v>
      </c>
      <c r="K204" s="39" t="s">
        <v>307</v>
      </c>
      <c r="L204" s="39" t="s">
        <v>308</v>
      </c>
      <c r="M204" s="39">
        <v>1</v>
      </c>
      <c r="N204" s="39" t="s">
        <v>309</v>
      </c>
      <c r="O204" s="39"/>
      <c r="P204" s="39"/>
      <c r="Q204" s="39"/>
      <c r="R204" s="41"/>
      <c r="S204" s="39"/>
      <c r="T204" s="41" t="s">
        <v>1031</v>
      </c>
      <c r="U204" s="40" t="s">
        <v>1030</v>
      </c>
      <c r="V204" s="41"/>
      <c r="W204" s="40" t="s">
        <v>832</v>
      </c>
      <c r="X204" s="42" t="s">
        <v>833</v>
      </c>
      <c r="Y204" s="42" t="s">
        <v>267</v>
      </c>
      <c r="Z204" s="43"/>
      <c r="AA204" s="44" t="s">
        <v>834</v>
      </c>
      <c r="AB204" s="38" t="str">
        <f t="shared" si="3"/>
        <v>5E07100000</v>
      </c>
    </row>
    <row r="205" spans="4:28" ht="33" customHeight="1">
      <c r="D205" s="39"/>
      <c r="E205" s="45"/>
      <c r="F205" s="39">
        <v>300</v>
      </c>
      <c r="G205" s="39" t="s">
        <v>998</v>
      </c>
      <c r="H205" s="39">
        <v>1840</v>
      </c>
      <c r="I205" s="39" t="s">
        <v>1032</v>
      </c>
      <c r="J205" s="40" t="s">
        <v>1033</v>
      </c>
      <c r="K205" s="39" t="s">
        <v>307</v>
      </c>
      <c r="L205" s="39" t="s">
        <v>308</v>
      </c>
      <c r="M205" s="39">
        <v>1</v>
      </c>
      <c r="N205" s="39" t="s">
        <v>309</v>
      </c>
      <c r="O205" s="39"/>
      <c r="P205" s="39"/>
      <c r="Q205" s="39"/>
      <c r="R205" s="41"/>
      <c r="S205" s="39"/>
      <c r="T205" s="41" t="s">
        <v>1034</v>
      </c>
      <c r="U205" s="40" t="s">
        <v>1035</v>
      </c>
      <c r="V205" s="41"/>
      <c r="W205" s="40" t="s">
        <v>832</v>
      </c>
      <c r="X205" s="42" t="s">
        <v>833</v>
      </c>
      <c r="Y205" s="42" t="s">
        <v>267</v>
      </c>
      <c r="Z205" s="43"/>
      <c r="AA205" s="44" t="s">
        <v>834</v>
      </c>
      <c r="AB205" s="38" t="str">
        <f t="shared" si="3"/>
        <v>5F01614100</v>
      </c>
    </row>
    <row r="206" spans="4:28" ht="33" customHeight="1">
      <c r="D206" s="39"/>
      <c r="E206" s="45"/>
      <c r="F206" s="39">
        <v>300</v>
      </c>
      <c r="G206" s="39" t="s">
        <v>998</v>
      </c>
      <c r="H206" s="39">
        <v>1850</v>
      </c>
      <c r="I206" s="39" t="s">
        <v>1036</v>
      </c>
      <c r="J206" s="40" t="s">
        <v>1037</v>
      </c>
      <c r="K206" s="39" t="s">
        <v>307</v>
      </c>
      <c r="L206" s="39" t="s">
        <v>308</v>
      </c>
      <c r="M206" s="39">
        <v>1</v>
      </c>
      <c r="N206" s="39" t="s">
        <v>309</v>
      </c>
      <c r="O206" s="39"/>
      <c r="P206" s="39"/>
      <c r="Q206" s="39"/>
      <c r="R206" s="41"/>
      <c r="S206" s="39"/>
      <c r="T206" s="41" t="s">
        <v>1038</v>
      </c>
      <c r="U206" s="40" t="s">
        <v>1039</v>
      </c>
      <c r="V206" s="41"/>
      <c r="W206" s="40" t="s">
        <v>832</v>
      </c>
      <c r="X206" s="42" t="s">
        <v>833</v>
      </c>
      <c r="Y206" s="42" t="s">
        <v>267</v>
      </c>
      <c r="Z206" s="43"/>
      <c r="AA206" s="44" t="s">
        <v>834</v>
      </c>
      <c r="AB206" s="38" t="str">
        <f t="shared" si="3"/>
        <v>5F36014950</v>
      </c>
    </row>
    <row r="207" spans="4:28" ht="33" customHeight="1">
      <c r="D207" s="39"/>
      <c r="E207" s="45"/>
      <c r="F207" s="39">
        <v>300</v>
      </c>
      <c r="G207" s="39" t="s">
        <v>998</v>
      </c>
      <c r="H207" s="39">
        <v>1860</v>
      </c>
      <c r="I207" s="39" t="s">
        <v>1040</v>
      </c>
      <c r="J207" s="40" t="s">
        <v>1041</v>
      </c>
      <c r="K207" s="39" t="s">
        <v>307</v>
      </c>
      <c r="L207" s="39" t="s">
        <v>602</v>
      </c>
      <c r="M207" s="39">
        <v>1</v>
      </c>
      <c r="N207" s="39" t="s">
        <v>309</v>
      </c>
      <c r="O207" s="39"/>
      <c r="P207" s="39"/>
      <c r="Q207" s="39"/>
      <c r="R207" s="41"/>
      <c r="S207" s="39"/>
      <c r="T207" s="41" t="s">
        <v>1038</v>
      </c>
      <c r="U207" s="40" t="s">
        <v>1042</v>
      </c>
      <c r="V207" s="41"/>
      <c r="W207" s="40" t="s">
        <v>832</v>
      </c>
      <c r="X207" s="42" t="s">
        <v>1043</v>
      </c>
      <c r="Y207" s="42" t="s">
        <v>267</v>
      </c>
      <c r="Z207" s="43"/>
      <c r="AA207" s="44" t="s">
        <v>1044</v>
      </c>
      <c r="AB207" s="38" t="str">
        <f t="shared" si="3"/>
        <v>5F36014970</v>
      </c>
    </row>
    <row r="208" spans="4:28" ht="33" customHeight="1">
      <c r="D208" s="39"/>
      <c r="E208" s="45"/>
      <c r="F208" s="39">
        <v>300</v>
      </c>
      <c r="G208" s="39" t="s">
        <v>998</v>
      </c>
      <c r="H208" s="39">
        <v>1870</v>
      </c>
      <c r="I208" s="39" t="s">
        <v>1045</v>
      </c>
      <c r="J208" s="40" t="s">
        <v>1046</v>
      </c>
      <c r="K208" s="39" t="s">
        <v>307</v>
      </c>
      <c r="L208" s="39" t="s">
        <v>308</v>
      </c>
      <c r="M208" s="39">
        <v>1</v>
      </c>
      <c r="N208" s="39" t="s">
        <v>309</v>
      </c>
      <c r="O208" s="39"/>
      <c r="P208" s="39"/>
      <c r="Q208" s="39"/>
      <c r="R208" s="41"/>
      <c r="S208" s="39"/>
      <c r="T208" s="41" t="s">
        <v>1038</v>
      </c>
      <c r="U208" s="40" t="s">
        <v>1047</v>
      </c>
      <c r="V208" s="41"/>
      <c r="W208" s="40" t="s">
        <v>832</v>
      </c>
      <c r="X208" s="42" t="s">
        <v>833</v>
      </c>
      <c r="Y208" s="42" t="s">
        <v>267</v>
      </c>
      <c r="Z208" s="43"/>
      <c r="AA208" s="44" t="s">
        <v>834</v>
      </c>
      <c r="AB208" s="38" t="str">
        <f t="shared" si="3"/>
        <v>5F36015000</v>
      </c>
    </row>
    <row r="209" spans="4:28" ht="33" customHeight="1">
      <c r="D209" s="39"/>
      <c r="E209" s="45"/>
      <c r="F209" s="39">
        <v>300</v>
      </c>
      <c r="G209" s="39" t="s">
        <v>998</v>
      </c>
      <c r="H209" s="39">
        <v>1880</v>
      </c>
      <c r="I209" s="39" t="s">
        <v>1048</v>
      </c>
      <c r="J209" s="40" t="s">
        <v>1049</v>
      </c>
      <c r="K209" s="39" t="s">
        <v>307</v>
      </c>
      <c r="L209" s="39" t="s">
        <v>308</v>
      </c>
      <c r="M209" s="39">
        <v>1</v>
      </c>
      <c r="N209" s="39" t="s">
        <v>309</v>
      </c>
      <c r="O209" s="39"/>
      <c r="P209" s="39"/>
      <c r="Q209" s="39"/>
      <c r="R209" s="41"/>
      <c r="S209" s="39"/>
      <c r="T209" s="41" t="s">
        <v>1038</v>
      </c>
      <c r="U209" s="40" t="s">
        <v>1047</v>
      </c>
      <c r="V209" s="41"/>
      <c r="W209" s="40" t="s">
        <v>832</v>
      </c>
      <c r="X209" s="42" t="s">
        <v>833</v>
      </c>
      <c r="Y209" s="42" t="s">
        <v>267</v>
      </c>
      <c r="Z209" s="43"/>
      <c r="AA209" s="44" t="s">
        <v>834</v>
      </c>
      <c r="AB209" s="38" t="str">
        <f t="shared" si="3"/>
        <v>5F36014500</v>
      </c>
    </row>
    <row r="210" spans="4:28" ht="33" customHeight="1">
      <c r="D210" s="39"/>
      <c r="E210" s="45"/>
      <c r="F210" s="39">
        <v>300</v>
      </c>
      <c r="G210" s="39" t="s">
        <v>998</v>
      </c>
      <c r="H210" s="39">
        <v>1890</v>
      </c>
      <c r="I210" s="39" t="s">
        <v>1050</v>
      </c>
      <c r="J210" s="40" t="s">
        <v>1051</v>
      </c>
      <c r="K210" s="39" t="s">
        <v>307</v>
      </c>
      <c r="L210" s="39" t="s">
        <v>308</v>
      </c>
      <c r="M210" s="39">
        <v>1</v>
      </c>
      <c r="N210" s="39" t="s">
        <v>309</v>
      </c>
      <c r="O210" s="39"/>
      <c r="P210" s="39"/>
      <c r="Q210" s="39"/>
      <c r="R210" s="41"/>
      <c r="S210" s="39"/>
      <c r="T210" s="41" t="s">
        <v>1052</v>
      </c>
      <c r="U210" s="40" t="s">
        <v>1053</v>
      </c>
      <c r="V210" s="41"/>
      <c r="W210" s="40"/>
      <c r="X210" s="42" t="s">
        <v>1054</v>
      </c>
      <c r="Y210" s="42" t="s">
        <v>267</v>
      </c>
      <c r="Z210" s="43"/>
      <c r="AA210" s="44" t="s">
        <v>1055</v>
      </c>
      <c r="AB210" s="38" t="str">
        <f t="shared" si="3"/>
        <v>9N40100000</v>
      </c>
    </row>
    <row r="211" spans="4:28" ht="33" customHeight="1">
      <c r="D211" s="39"/>
      <c r="E211" s="45"/>
      <c r="F211" s="39">
        <v>300</v>
      </c>
      <c r="G211" s="39" t="s">
        <v>998</v>
      </c>
      <c r="H211" s="39">
        <v>1900</v>
      </c>
      <c r="I211" s="39" t="s">
        <v>1056</v>
      </c>
      <c r="J211" s="40" t="s">
        <v>1057</v>
      </c>
      <c r="K211" s="39" t="s">
        <v>302</v>
      </c>
      <c r="L211" s="39" t="s">
        <v>303</v>
      </c>
      <c r="M211" s="39">
        <v>256</v>
      </c>
      <c r="N211" s="39"/>
      <c r="O211" s="39"/>
      <c r="P211" s="39"/>
      <c r="Q211" s="39"/>
      <c r="R211" s="41"/>
      <c r="S211" s="39"/>
      <c r="T211" s="41" t="s">
        <v>1058</v>
      </c>
      <c r="U211" s="40" t="s">
        <v>1057</v>
      </c>
      <c r="V211" s="41"/>
      <c r="W211" s="40"/>
      <c r="X211" s="42"/>
      <c r="Y211" s="42" t="s">
        <v>267</v>
      </c>
      <c r="Z211" s="43"/>
      <c r="AA211" s="44"/>
      <c r="AB211" s="38" t="str">
        <f t="shared" si="3"/>
        <v>9N40600000</v>
      </c>
    </row>
    <row r="212" spans="4:28" ht="33" customHeight="1">
      <c r="D212" s="39"/>
      <c r="E212" s="45"/>
      <c r="F212" s="39">
        <v>300</v>
      </c>
      <c r="G212" s="39" t="s">
        <v>998</v>
      </c>
      <c r="H212" s="39">
        <v>1910</v>
      </c>
      <c r="I212" s="39" t="s">
        <v>1059</v>
      </c>
      <c r="J212" s="40" t="s">
        <v>1060</v>
      </c>
      <c r="K212" s="39" t="s">
        <v>302</v>
      </c>
      <c r="L212" s="39" t="s">
        <v>303</v>
      </c>
      <c r="M212" s="39">
        <v>256</v>
      </c>
      <c r="N212" s="39"/>
      <c r="O212" s="39"/>
      <c r="P212" s="39"/>
      <c r="Q212" s="39"/>
      <c r="R212" s="41"/>
      <c r="S212" s="39"/>
      <c r="T212" s="41" t="s">
        <v>1061</v>
      </c>
      <c r="U212" s="40" t="s">
        <v>1060</v>
      </c>
      <c r="V212" s="41"/>
      <c r="W212" s="40"/>
      <c r="X212" s="42"/>
      <c r="Y212" s="42" t="s">
        <v>267</v>
      </c>
      <c r="Z212" s="43"/>
      <c r="AA212" s="44"/>
      <c r="AB212" s="38" t="str">
        <f t="shared" si="3"/>
        <v>9N41100000</v>
      </c>
    </row>
    <row r="213" spans="4:28" ht="33" customHeight="1">
      <c r="D213" s="39"/>
      <c r="E213" s="45"/>
      <c r="F213" s="39">
        <v>300</v>
      </c>
      <c r="G213" s="39" t="s">
        <v>998</v>
      </c>
      <c r="H213" s="39">
        <v>1920</v>
      </c>
      <c r="I213" s="39" t="s">
        <v>1062</v>
      </c>
      <c r="J213" s="40" t="s">
        <v>1063</v>
      </c>
      <c r="K213" s="39" t="s">
        <v>302</v>
      </c>
      <c r="L213" s="39" t="s">
        <v>303</v>
      </c>
      <c r="M213" s="39">
        <v>256</v>
      </c>
      <c r="N213" s="39"/>
      <c r="O213" s="39"/>
      <c r="P213" s="39"/>
      <c r="Q213" s="39"/>
      <c r="R213" s="41"/>
      <c r="S213" s="39"/>
      <c r="T213" s="41" t="s">
        <v>1064</v>
      </c>
      <c r="U213" s="40" t="s">
        <v>1063</v>
      </c>
      <c r="V213" s="41"/>
      <c r="W213" s="40"/>
      <c r="X213" s="42"/>
      <c r="Y213" s="42" t="s">
        <v>267</v>
      </c>
      <c r="Z213" s="43"/>
      <c r="AA213" s="44"/>
      <c r="AB213" s="38" t="str">
        <f t="shared" si="3"/>
        <v>9N41600000</v>
      </c>
    </row>
    <row r="214" spans="4:28" ht="33" customHeight="1">
      <c r="D214" s="39" t="s">
        <v>1065</v>
      </c>
      <c r="E214" s="39" t="s">
        <v>1065</v>
      </c>
      <c r="F214" s="39">
        <v>400</v>
      </c>
      <c r="G214" s="39" t="s">
        <v>1066</v>
      </c>
      <c r="H214" s="39">
        <v>1930</v>
      </c>
      <c r="I214" s="39" t="s">
        <v>1067</v>
      </c>
      <c r="J214" s="40" t="s">
        <v>1068</v>
      </c>
      <c r="K214" s="39" t="s">
        <v>307</v>
      </c>
      <c r="L214" s="39" t="s">
        <v>308</v>
      </c>
      <c r="M214" s="39">
        <v>1</v>
      </c>
      <c r="N214" s="39" t="s">
        <v>309</v>
      </c>
      <c r="O214" s="39"/>
      <c r="P214" s="39"/>
      <c r="Q214" s="39"/>
      <c r="R214" s="41"/>
      <c r="S214" s="39"/>
      <c r="T214" s="41" t="s">
        <v>1069</v>
      </c>
      <c r="U214" s="40" t="s">
        <v>1068</v>
      </c>
      <c r="V214" s="41"/>
      <c r="W214" s="40"/>
      <c r="X214" s="42" t="s">
        <v>1070</v>
      </c>
      <c r="Y214" s="42" t="s">
        <v>267</v>
      </c>
      <c r="Z214" s="43"/>
      <c r="AA214" s="44" t="s">
        <v>1071</v>
      </c>
      <c r="AB214" s="38" t="str">
        <f t="shared" si="3"/>
        <v>9N50100000</v>
      </c>
    </row>
    <row r="215" spans="4:28" ht="33" customHeight="1">
      <c r="D215" s="39" t="s">
        <v>1065</v>
      </c>
      <c r="E215" s="39" t="s">
        <v>1065</v>
      </c>
      <c r="F215" s="39">
        <v>400</v>
      </c>
      <c r="G215" s="39" t="s">
        <v>1066</v>
      </c>
      <c r="H215" s="39">
        <v>1940</v>
      </c>
      <c r="I215" s="39" t="s">
        <v>1072</v>
      </c>
      <c r="J215" s="40" t="s">
        <v>1073</v>
      </c>
      <c r="K215" s="39" t="s">
        <v>307</v>
      </c>
      <c r="L215" s="39" t="s">
        <v>308</v>
      </c>
      <c r="M215" s="39">
        <v>1</v>
      </c>
      <c r="N215" s="39" t="s">
        <v>309</v>
      </c>
      <c r="O215" s="39"/>
      <c r="P215" s="39"/>
      <c r="Q215" s="39"/>
      <c r="R215" s="41"/>
      <c r="S215" s="39"/>
      <c r="T215" s="41" t="s">
        <v>1074</v>
      </c>
      <c r="U215" s="40" t="s">
        <v>1073</v>
      </c>
      <c r="V215" s="41"/>
      <c r="W215" s="40"/>
      <c r="X215" s="42" t="s">
        <v>1075</v>
      </c>
      <c r="Y215" s="42" t="s">
        <v>267</v>
      </c>
      <c r="Z215" s="43"/>
      <c r="AA215" s="44" t="s">
        <v>1076</v>
      </c>
      <c r="AB215" s="38" t="str">
        <f t="shared" si="3"/>
        <v>9N50600000</v>
      </c>
    </row>
    <row r="216" spans="4:28" ht="56.25" customHeight="1">
      <c r="D216" s="39" t="s">
        <v>1065</v>
      </c>
      <c r="E216" s="39" t="s">
        <v>1065</v>
      </c>
      <c r="F216" s="39">
        <v>400</v>
      </c>
      <c r="G216" s="39" t="s">
        <v>1066</v>
      </c>
      <c r="H216" s="39">
        <v>1950</v>
      </c>
      <c r="I216" s="39" t="s">
        <v>1077</v>
      </c>
      <c r="J216" s="40" t="s">
        <v>1078</v>
      </c>
      <c r="K216" s="39" t="s">
        <v>302</v>
      </c>
      <c r="L216" s="39" t="s">
        <v>303</v>
      </c>
      <c r="M216" s="39">
        <v>256</v>
      </c>
      <c r="N216" s="39"/>
      <c r="O216" s="39"/>
      <c r="P216" s="39"/>
      <c r="Q216" s="39" t="s">
        <v>1079</v>
      </c>
      <c r="R216" s="41"/>
      <c r="S216" s="39"/>
      <c r="T216" s="41" t="s">
        <v>1080</v>
      </c>
      <c r="U216" s="40" t="s">
        <v>1081</v>
      </c>
      <c r="V216" s="41"/>
      <c r="W216" s="40"/>
      <c r="X216" s="42"/>
      <c r="Y216" s="42" t="s">
        <v>267</v>
      </c>
      <c r="Z216" s="43"/>
      <c r="AA216" s="44"/>
      <c r="AB216" s="38" t="str">
        <f t="shared" si="3"/>
        <v>9N51100000</v>
      </c>
    </row>
    <row r="217" spans="4:28" ht="112.5" customHeight="1">
      <c r="D217" s="39" t="s">
        <v>1082</v>
      </c>
      <c r="E217" s="39" t="s">
        <v>1082</v>
      </c>
      <c r="F217" s="39">
        <v>400</v>
      </c>
      <c r="G217" s="39" t="s">
        <v>1066</v>
      </c>
      <c r="H217" s="39">
        <v>1955</v>
      </c>
      <c r="I217" s="39" t="s">
        <v>1083</v>
      </c>
      <c r="J217" s="40" t="s">
        <v>1084</v>
      </c>
      <c r="K217" s="39" t="s">
        <v>307</v>
      </c>
      <c r="L217" s="39" t="s">
        <v>308</v>
      </c>
      <c r="M217" s="39">
        <v>1</v>
      </c>
      <c r="N217" s="39" t="s">
        <v>309</v>
      </c>
      <c r="O217" s="39"/>
      <c r="P217" s="39"/>
      <c r="Q217" s="39"/>
      <c r="R217" s="41"/>
      <c r="S217" s="39"/>
      <c r="T217" s="41" t="s">
        <v>1085</v>
      </c>
      <c r="U217" s="40" t="s">
        <v>1084</v>
      </c>
      <c r="V217" s="41"/>
      <c r="W217" s="40"/>
      <c r="X217" s="42" t="s">
        <v>1086</v>
      </c>
      <c r="Y217" s="42" t="s">
        <v>267</v>
      </c>
      <c r="Z217" s="43" t="s">
        <v>417</v>
      </c>
      <c r="AA217" s="44" t="s">
        <v>1087</v>
      </c>
      <c r="AB217" s="38" t="str">
        <f t="shared" si="3"/>
        <v>9N51200000</v>
      </c>
    </row>
    <row r="218" spans="4:28" ht="114.75" customHeight="1">
      <c r="D218" s="39" t="s">
        <v>1065</v>
      </c>
      <c r="E218" s="45"/>
      <c r="F218" s="39">
        <v>400</v>
      </c>
      <c r="G218" s="39" t="s">
        <v>1066</v>
      </c>
      <c r="H218" s="39">
        <v>1960</v>
      </c>
      <c r="I218" s="39" t="s">
        <v>1079</v>
      </c>
      <c r="J218" s="40" t="s">
        <v>1088</v>
      </c>
      <c r="K218" s="39" t="s">
        <v>302</v>
      </c>
      <c r="L218" s="39" t="s">
        <v>303</v>
      </c>
      <c r="M218" s="39">
        <v>64</v>
      </c>
      <c r="N218" s="39"/>
      <c r="O218" s="39"/>
      <c r="P218" s="39"/>
      <c r="Q218" s="39"/>
      <c r="R218" s="41"/>
      <c r="S218" s="39"/>
      <c r="T218" s="41" t="s">
        <v>1089</v>
      </c>
      <c r="U218" s="40"/>
      <c r="V218" s="41"/>
      <c r="W218" s="40"/>
      <c r="X218" s="42"/>
      <c r="Y218" s="42" t="s">
        <v>267</v>
      </c>
      <c r="Z218" s="44" t="s">
        <v>1090</v>
      </c>
      <c r="AA218" s="44"/>
      <c r="AB218" s="38" t="str">
        <f t="shared" si="3"/>
        <v>9N51600000</v>
      </c>
    </row>
    <row r="219" spans="4:28" ht="33" customHeight="1">
      <c r="D219" s="39"/>
      <c r="E219" s="45"/>
      <c r="F219" s="39">
        <v>400</v>
      </c>
      <c r="G219" s="39" t="s">
        <v>1066</v>
      </c>
      <c r="H219" s="39">
        <v>1970</v>
      </c>
      <c r="I219" s="39" t="s">
        <v>1091</v>
      </c>
      <c r="J219" s="40" t="s">
        <v>1092</v>
      </c>
      <c r="K219" s="39" t="s">
        <v>302</v>
      </c>
      <c r="L219" s="39" t="s">
        <v>303</v>
      </c>
      <c r="M219" s="39">
        <v>256</v>
      </c>
      <c r="N219" s="39"/>
      <c r="O219" s="39"/>
      <c r="P219" s="39"/>
      <c r="Q219" s="39" t="s">
        <v>1093</v>
      </c>
      <c r="R219" s="41"/>
      <c r="S219" s="39"/>
      <c r="T219" s="41" t="s">
        <v>1094</v>
      </c>
      <c r="U219" s="40" t="s">
        <v>1092</v>
      </c>
      <c r="V219" s="41"/>
      <c r="W219" s="40"/>
      <c r="X219" s="42"/>
      <c r="Y219" s="42" t="s">
        <v>267</v>
      </c>
      <c r="Z219" s="43"/>
      <c r="AA219" s="44"/>
      <c r="AB219" s="38" t="str">
        <f t="shared" si="3"/>
        <v>9N52100000</v>
      </c>
    </row>
    <row r="220" spans="4:28" ht="33" customHeight="1">
      <c r="D220" s="39"/>
      <c r="E220" s="45"/>
      <c r="F220" s="39">
        <v>400</v>
      </c>
      <c r="G220" s="39" t="s">
        <v>1066</v>
      </c>
      <c r="H220" s="39">
        <v>1980</v>
      </c>
      <c r="I220" s="39" t="s">
        <v>1093</v>
      </c>
      <c r="J220" s="40" t="s">
        <v>1095</v>
      </c>
      <c r="K220" s="39" t="s">
        <v>302</v>
      </c>
      <c r="L220" s="39" t="s">
        <v>303</v>
      </c>
      <c r="M220" s="39">
        <v>64</v>
      </c>
      <c r="N220" s="39"/>
      <c r="O220" s="39"/>
      <c r="P220" s="39"/>
      <c r="Q220" s="39"/>
      <c r="R220" s="41"/>
      <c r="S220" s="39"/>
      <c r="T220" s="41" t="s">
        <v>1096</v>
      </c>
      <c r="U220" s="40"/>
      <c r="V220" s="41"/>
      <c r="W220" s="40"/>
      <c r="X220" s="42"/>
      <c r="Y220" s="42" t="s">
        <v>267</v>
      </c>
      <c r="Z220" s="43" t="s">
        <v>1097</v>
      </c>
      <c r="AA220" s="44"/>
      <c r="AB220" s="38" t="str">
        <f t="shared" si="3"/>
        <v>9N52600000</v>
      </c>
    </row>
    <row r="221" spans="4:28" ht="33" customHeight="1">
      <c r="D221" s="39"/>
      <c r="E221" s="45"/>
      <c r="F221" s="39">
        <v>400</v>
      </c>
      <c r="G221" s="39" t="s">
        <v>1066</v>
      </c>
      <c r="H221" s="39">
        <v>1990</v>
      </c>
      <c r="I221" s="39" t="s">
        <v>1098</v>
      </c>
      <c r="J221" s="40" t="s">
        <v>1099</v>
      </c>
      <c r="K221" s="39" t="s">
        <v>302</v>
      </c>
      <c r="L221" s="39" t="s">
        <v>303</v>
      </c>
      <c r="M221" s="39">
        <v>256</v>
      </c>
      <c r="N221" s="39"/>
      <c r="O221" s="39"/>
      <c r="P221" s="39"/>
      <c r="Q221" s="39" t="s">
        <v>1100</v>
      </c>
      <c r="R221" s="41"/>
      <c r="S221" s="39"/>
      <c r="T221" s="41" t="s">
        <v>1101</v>
      </c>
      <c r="U221" s="40" t="s">
        <v>1099</v>
      </c>
      <c r="V221" s="41"/>
      <c r="W221" s="40"/>
      <c r="X221" s="42"/>
      <c r="Y221" s="42" t="s">
        <v>267</v>
      </c>
      <c r="Z221" s="43"/>
      <c r="AA221" s="44"/>
      <c r="AB221" s="38" t="str">
        <f t="shared" si="3"/>
        <v>9N53100000</v>
      </c>
    </row>
    <row r="222" spans="4:28" ht="33" customHeight="1">
      <c r="D222" s="39"/>
      <c r="E222" s="45"/>
      <c r="F222" s="39">
        <v>400</v>
      </c>
      <c r="G222" s="39" t="s">
        <v>1066</v>
      </c>
      <c r="H222" s="39">
        <v>2000</v>
      </c>
      <c r="I222" s="39" t="s">
        <v>1100</v>
      </c>
      <c r="J222" s="40" t="s">
        <v>1102</v>
      </c>
      <c r="K222" s="39" t="s">
        <v>302</v>
      </c>
      <c r="L222" s="39" t="s">
        <v>303</v>
      </c>
      <c r="M222" s="39">
        <v>64</v>
      </c>
      <c r="N222" s="39"/>
      <c r="O222" s="39"/>
      <c r="P222" s="39"/>
      <c r="Q222" s="39"/>
      <c r="R222" s="41"/>
      <c r="S222" s="39"/>
      <c r="T222" s="41" t="s">
        <v>1103</v>
      </c>
      <c r="U222" s="40"/>
      <c r="V222" s="41"/>
      <c r="W222" s="40"/>
      <c r="X222" s="42"/>
      <c r="Y222" s="42" t="s">
        <v>267</v>
      </c>
      <c r="Z222" s="43" t="s">
        <v>1097</v>
      </c>
      <c r="AA222" s="44"/>
      <c r="AB222" s="38" t="str">
        <f t="shared" si="3"/>
        <v>9N53600000</v>
      </c>
    </row>
    <row r="223" spans="4:28" ht="33" customHeight="1">
      <c r="D223" s="39"/>
      <c r="E223" s="45"/>
      <c r="F223" s="39">
        <v>400</v>
      </c>
      <c r="G223" s="39" t="s">
        <v>1066</v>
      </c>
      <c r="H223" s="39">
        <v>2010</v>
      </c>
      <c r="I223" s="39" t="s">
        <v>1104</v>
      </c>
      <c r="J223" s="40" t="s">
        <v>1105</v>
      </c>
      <c r="K223" s="39" t="s">
        <v>302</v>
      </c>
      <c r="L223" s="39" t="s">
        <v>303</v>
      </c>
      <c r="M223" s="39">
        <v>256</v>
      </c>
      <c r="N223" s="39"/>
      <c r="O223" s="39"/>
      <c r="P223" s="39"/>
      <c r="Q223" s="39" t="s">
        <v>1106</v>
      </c>
      <c r="R223" s="41"/>
      <c r="S223" s="39"/>
      <c r="T223" s="41" t="s">
        <v>1107</v>
      </c>
      <c r="U223" s="40" t="s">
        <v>1105</v>
      </c>
      <c r="V223" s="41"/>
      <c r="W223" s="40"/>
      <c r="X223" s="42"/>
      <c r="Y223" s="42" t="s">
        <v>267</v>
      </c>
      <c r="Z223" s="43"/>
      <c r="AA223" s="44"/>
      <c r="AB223" s="38" t="str">
        <f t="shared" si="3"/>
        <v>9N54100000</v>
      </c>
    </row>
    <row r="224" spans="4:28" ht="33" customHeight="1">
      <c r="D224" s="39"/>
      <c r="E224" s="45"/>
      <c r="F224" s="39">
        <v>400</v>
      </c>
      <c r="G224" s="39" t="s">
        <v>1066</v>
      </c>
      <c r="H224" s="39">
        <v>2020</v>
      </c>
      <c r="I224" s="39" t="s">
        <v>1106</v>
      </c>
      <c r="J224" s="40" t="s">
        <v>1108</v>
      </c>
      <c r="K224" s="39" t="s">
        <v>302</v>
      </c>
      <c r="L224" s="39" t="s">
        <v>303</v>
      </c>
      <c r="M224" s="39">
        <v>64</v>
      </c>
      <c r="N224" s="39"/>
      <c r="O224" s="39"/>
      <c r="P224" s="39"/>
      <c r="Q224" s="39"/>
      <c r="R224" s="41"/>
      <c r="S224" s="39"/>
      <c r="T224" s="41" t="s">
        <v>1109</v>
      </c>
      <c r="U224" s="40"/>
      <c r="V224" s="41"/>
      <c r="W224" s="40"/>
      <c r="X224" s="42"/>
      <c r="Y224" s="42" t="s">
        <v>267</v>
      </c>
      <c r="Z224" s="43" t="s">
        <v>1097</v>
      </c>
      <c r="AA224" s="44"/>
      <c r="AB224" s="38" t="str">
        <f t="shared" si="3"/>
        <v>9N54600000</v>
      </c>
    </row>
    <row r="225" spans="4:28" ht="33" customHeight="1">
      <c r="D225" s="39"/>
      <c r="E225" s="45"/>
      <c r="F225" s="39">
        <v>400</v>
      </c>
      <c r="G225" s="39" t="s">
        <v>1066</v>
      </c>
      <c r="H225" s="39">
        <v>2030</v>
      </c>
      <c r="I225" s="39" t="s">
        <v>1110</v>
      </c>
      <c r="J225" s="40" t="s">
        <v>258</v>
      </c>
      <c r="K225" s="39" t="s">
        <v>302</v>
      </c>
      <c r="L225" s="39" t="s">
        <v>303</v>
      </c>
      <c r="M225" s="39">
        <v>256</v>
      </c>
      <c r="N225" s="39"/>
      <c r="O225" s="39"/>
      <c r="P225" s="39"/>
      <c r="Q225" s="39"/>
      <c r="R225" s="41"/>
      <c r="S225" s="39"/>
      <c r="T225" s="41" t="s">
        <v>1111</v>
      </c>
      <c r="U225" s="40" t="s">
        <v>258</v>
      </c>
      <c r="V225" s="41"/>
      <c r="W225" s="40"/>
      <c r="X225" s="42"/>
      <c r="Y225" s="42" t="s">
        <v>267</v>
      </c>
      <c r="Z225" s="43"/>
      <c r="AA225" s="44"/>
      <c r="AB225" s="38" t="str">
        <f t="shared" si="3"/>
        <v>9N55100000</v>
      </c>
    </row>
    <row r="226" spans="4:28" ht="33" customHeight="1">
      <c r="D226" s="39"/>
      <c r="E226" s="45"/>
      <c r="F226" s="39">
        <v>400</v>
      </c>
      <c r="G226" s="39" t="s">
        <v>1066</v>
      </c>
      <c r="H226" s="39">
        <v>2040</v>
      </c>
      <c r="I226" s="39" t="s">
        <v>1112</v>
      </c>
      <c r="J226" s="40" t="s">
        <v>1113</v>
      </c>
      <c r="K226" s="39" t="s">
        <v>307</v>
      </c>
      <c r="L226" s="39" t="s">
        <v>308</v>
      </c>
      <c r="M226" s="39">
        <v>1</v>
      </c>
      <c r="N226" s="39" t="s">
        <v>309</v>
      </c>
      <c r="O226" s="39"/>
      <c r="P226" s="39"/>
      <c r="Q226" s="39"/>
      <c r="R226" s="41" t="s">
        <v>1112</v>
      </c>
      <c r="S226" s="39" t="s">
        <v>504</v>
      </c>
      <c r="T226" s="41" t="s">
        <v>1114</v>
      </c>
      <c r="U226" s="40" t="s">
        <v>1115</v>
      </c>
      <c r="V226" s="41"/>
      <c r="W226" s="40"/>
      <c r="X226" s="42" t="s">
        <v>1116</v>
      </c>
      <c r="Y226" s="42" t="s">
        <v>267</v>
      </c>
      <c r="Z226" s="43"/>
      <c r="AA226" s="44" t="s">
        <v>1117</v>
      </c>
      <c r="AB226" s="38" t="str">
        <f t="shared" si="3"/>
        <v>9N55600000</v>
      </c>
    </row>
    <row r="227" spans="4:28" ht="33" customHeight="1">
      <c r="D227" s="39"/>
      <c r="E227" s="45"/>
      <c r="F227" s="39">
        <v>400</v>
      </c>
      <c r="G227" s="39" t="s">
        <v>1066</v>
      </c>
      <c r="H227" s="39">
        <v>2050</v>
      </c>
      <c r="I227" s="39" t="s">
        <v>1118</v>
      </c>
      <c r="J227" s="40" t="s">
        <v>1119</v>
      </c>
      <c r="K227" s="39" t="s">
        <v>307</v>
      </c>
      <c r="L227" s="39" t="s">
        <v>308</v>
      </c>
      <c r="M227" s="39">
        <v>1</v>
      </c>
      <c r="N227" s="39" t="s">
        <v>309</v>
      </c>
      <c r="O227" s="39"/>
      <c r="P227" s="39"/>
      <c r="Q227" s="39"/>
      <c r="R227" s="41" t="s">
        <v>1112</v>
      </c>
      <c r="S227" s="39" t="s">
        <v>504</v>
      </c>
      <c r="T227" s="41" t="s">
        <v>1120</v>
      </c>
      <c r="U227" s="40" t="s">
        <v>1121</v>
      </c>
      <c r="V227" s="41"/>
      <c r="W227" s="40"/>
      <c r="X227" s="42" t="s">
        <v>1122</v>
      </c>
      <c r="Y227" s="42" t="s">
        <v>267</v>
      </c>
      <c r="Z227" s="43"/>
      <c r="AA227" s="44" t="s">
        <v>1123</v>
      </c>
      <c r="AB227" s="38" t="str">
        <f t="shared" si="3"/>
        <v>9N56100000</v>
      </c>
    </row>
    <row r="228" spans="4:28" ht="33" customHeight="1">
      <c r="D228" s="39"/>
      <c r="E228" s="45"/>
      <c r="F228" s="39">
        <v>400</v>
      </c>
      <c r="G228" s="39" t="s">
        <v>1066</v>
      </c>
      <c r="H228" s="39">
        <v>2060</v>
      </c>
      <c r="I228" s="39" t="s">
        <v>1124</v>
      </c>
      <c r="J228" s="40" t="s">
        <v>1125</v>
      </c>
      <c r="K228" s="39" t="s">
        <v>302</v>
      </c>
      <c r="L228" s="39" t="s">
        <v>303</v>
      </c>
      <c r="M228" s="39">
        <v>256</v>
      </c>
      <c r="N228" s="39"/>
      <c r="O228" s="39"/>
      <c r="P228" s="39"/>
      <c r="Q228" s="39"/>
      <c r="R228" s="41" t="s">
        <v>1112</v>
      </c>
      <c r="S228" s="39" t="s">
        <v>504</v>
      </c>
      <c r="T228" s="41" t="s">
        <v>1126</v>
      </c>
      <c r="U228" s="40" t="s">
        <v>1127</v>
      </c>
      <c r="V228" s="41"/>
      <c r="W228" s="40"/>
      <c r="X228" s="42"/>
      <c r="Y228" s="42" t="s">
        <v>267</v>
      </c>
      <c r="Z228" s="43"/>
      <c r="AA228" s="44" t="s">
        <v>1128</v>
      </c>
      <c r="AB228" s="38" t="str">
        <f t="shared" si="3"/>
        <v>9N56600000</v>
      </c>
    </row>
    <row r="229" spans="4:28" ht="33" customHeight="1">
      <c r="D229" s="39"/>
      <c r="E229" s="45"/>
      <c r="F229" s="39">
        <v>400</v>
      </c>
      <c r="G229" s="39" t="s">
        <v>1066</v>
      </c>
      <c r="H229" s="39">
        <v>2070</v>
      </c>
      <c r="I229" s="39" t="s">
        <v>1129</v>
      </c>
      <c r="J229" s="40" t="s">
        <v>1130</v>
      </c>
      <c r="K229" s="39" t="s">
        <v>302</v>
      </c>
      <c r="L229" s="39" t="s">
        <v>303</v>
      </c>
      <c r="M229" s="39">
        <v>256</v>
      </c>
      <c r="N229" s="39"/>
      <c r="O229" s="39"/>
      <c r="P229" s="39"/>
      <c r="Q229" s="39" t="s">
        <v>1131</v>
      </c>
      <c r="R229" s="41"/>
      <c r="S229" s="39"/>
      <c r="T229" s="41" t="s">
        <v>1132</v>
      </c>
      <c r="U229" s="40" t="s">
        <v>1133</v>
      </c>
      <c r="V229" s="41"/>
      <c r="W229" s="40"/>
      <c r="X229" s="42"/>
      <c r="Y229" s="42" t="s">
        <v>267</v>
      </c>
      <c r="Z229" s="43"/>
      <c r="AA229" s="44"/>
      <c r="AB229" s="38" t="str">
        <f t="shared" si="3"/>
        <v>9N57100000</v>
      </c>
    </row>
    <row r="230" spans="4:28" ht="33" customHeight="1">
      <c r="D230" s="39"/>
      <c r="E230" s="45"/>
      <c r="F230" s="39">
        <v>400</v>
      </c>
      <c r="G230" s="39" t="s">
        <v>1066</v>
      </c>
      <c r="H230" s="39">
        <v>2080</v>
      </c>
      <c r="I230" s="39" t="s">
        <v>1131</v>
      </c>
      <c r="J230" s="40" t="s">
        <v>1134</v>
      </c>
      <c r="K230" s="39" t="s">
        <v>302</v>
      </c>
      <c r="L230" s="39" t="s">
        <v>303</v>
      </c>
      <c r="M230" s="39">
        <v>256</v>
      </c>
      <c r="N230" s="39"/>
      <c r="O230" s="39"/>
      <c r="P230" s="39"/>
      <c r="Q230" s="39"/>
      <c r="R230" s="41"/>
      <c r="S230" s="39"/>
      <c r="T230" s="41" t="s">
        <v>1135</v>
      </c>
      <c r="U230" s="40"/>
      <c r="V230" s="41"/>
      <c r="W230" s="40"/>
      <c r="X230" s="42"/>
      <c r="Y230" s="42" t="s">
        <v>267</v>
      </c>
      <c r="Z230" s="43" t="s">
        <v>1097</v>
      </c>
      <c r="AA230" s="44"/>
      <c r="AB230" s="38" t="str">
        <f t="shared" si="3"/>
        <v>9N57600000</v>
      </c>
    </row>
    <row r="231" spans="4:28" ht="33" customHeight="1">
      <c r="D231" s="39"/>
      <c r="E231" s="45"/>
      <c r="F231" s="39">
        <v>400</v>
      </c>
      <c r="G231" s="39" t="s">
        <v>1066</v>
      </c>
      <c r="H231" s="39">
        <v>2090</v>
      </c>
      <c r="I231" s="39" t="s">
        <v>1136</v>
      </c>
      <c r="J231" s="40" t="s">
        <v>1137</v>
      </c>
      <c r="K231" s="39" t="s">
        <v>307</v>
      </c>
      <c r="L231" s="39" t="s">
        <v>308</v>
      </c>
      <c r="M231" s="39">
        <v>1</v>
      </c>
      <c r="N231" s="39" t="s">
        <v>309</v>
      </c>
      <c r="O231" s="39"/>
      <c r="P231" s="39"/>
      <c r="Q231" s="39" t="s">
        <v>1138</v>
      </c>
      <c r="R231" s="41"/>
      <c r="S231" s="39"/>
      <c r="T231" s="41" t="s">
        <v>1139</v>
      </c>
      <c r="U231" s="40" t="s">
        <v>1140</v>
      </c>
      <c r="V231" s="41"/>
      <c r="W231" s="40"/>
      <c r="X231" s="42" t="s">
        <v>1141</v>
      </c>
      <c r="Y231" s="42" t="s">
        <v>267</v>
      </c>
      <c r="Z231" s="43"/>
      <c r="AA231" s="44" t="s">
        <v>1142</v>
      </c>
      <c r="AB231" s="38" t="str">
        <f t="shared" si="3"/>
        <v>9N58116130</v>
      </c>
    </row>
    <row r="232" spans="4:28" ht="33" customHeight="1">
      <c r="D232" s="39"/>
      <c r="E232" s="45"/>
      <c r="F232" s="39">
        <v>400</v>
      </c>
      <c r="G232" s="39" t="s">
        <v>1066</v>
      </c>
      <c r="H232" s="39">
        <v>2100</v>
      </c>
      <c r="I232" s="39" t="s">
        <v>1143</v>
      </c>
      <c r="J232" s="40" t="s">
        <v>1144</v>
      </c>
      <c r="K232" s="39" t="s">
        <v>302</v>
      </c>
      <c r="L232" s="39" t="s">
        <v>303</v>
      </c>
      <c r="M232" s="39">
        <v>256</v>
      </c>
      <c r="N232" s="39"/>
      <c r="O232" s="39"/>
      <c r="P232" s="39"/>
      <c r="Q232" s="39" t="s">
        <v>1138</v>
      </c>
      <c r="R232" s="41"/>
      <c r="S232" s="39"/>
      <c r="T232" s="41" t="s">
        <v>1139</v>
      </c>
      <c r="U232" s="40" t="s">
        <v>1145</v>
      </c>
      <c r="V232" s="41"/>
      <c r="W232" s="40"/>
      <c r="X232" s="42"/>
      <c r="Y232" s="42" t="s">
        <v>267</v>
      </c>
      <c r="Z232" s="43"/>
      <c r="AA232" s="44"/>
      <c r="AB232" s="38" t="str">
        <f t="shared" si="3"/>
        <v>9N58116140</v>
      </c>
    </row>
    <row r="233" spans="4:28" ht="33" customHeight="1">
      <c r="D233" s="39"/>
      <c r="E233" s="45"/>
      <c r="F233" s="39">
        <v>400</v>
      </c>
      <c r="G233" s="39" t="s">
        <v>1066</v>
      </c>
      <c r="H233" s="39">
        <v>2110</v>
      </c>
      <c r="I233" s="39" t="s">
        <v>1138</v>
      </c>
      <c r="J233" s="40" t="s">
        <v>1134</v>
      </c>
      <c r="K233" s="39" t="s">
        <v>302</v>
      </c>
      <c r="L233" s="39" t="s">
        <v>303</v>
      </c>
      <c r="M233" s="39">
        <v>256</v>
      </c>
      <c r="N233" s="39"/>
      <c r="O233" s="39"/>
      <c r="P233" s="39"/>
      <c r="Q233" s="39"/>
      <c r="R233" s="41"/>
      <c r="S233" s="39"/>
      <c r="T233" s="41" t="s">
        <v>1146</v>
      </c>
      <c r="U233" s="40"/>
      <c r="V233" s="41"/>
      <c r="W233" s="40"/>
      <c r="X233" s="42"/>
      <c r="Y233" s="42" t="s">
        <v>267</v>
      </c>
      <c r="Z233" s="43" t="s">
        <v>1097</v>
      </c>
      <c r="AA233" s="44"/>
      <c r="AB233" s="38" t="str">
        <f t="shared" si="3"/>
        <v>9N58600000</v>
      </c>
    </row>
    <row r="234" spans="4:28" ht="33" customHeight="1">
      <c r="D234" s="39"/>
      <c r="E234" s="45"/>
      <c r="F234" s="39">
        <v>400</v>
      </c>
      <c r="G234" s="39" t="s">
        <v>1066</v>
      </c>
      <c r="H234" s="39">
        <v>2120</v>
      </c>
      <c r="I234" s="39" t="s">
        <v>1147</v>
      </c>
      <c r="J234" s="40" t="s">
        <v>1148</v>
      </c>
      <c r="K234" s="39" t="s">
        <v>307</v>
      </c>
      <c r="L234" s="39" t="s">
        <v>308</v>
      </c>
      <c r="M234" s="39">
        <v>1</v>
      </c>
      <c r="N234" s="39" t="s">
        <v>309</v>
      </c>
      <c r="O234" s="39"/>
      <c r="P234" s="39"/>
      <c r="Q234" s="39" t="s">
        <v>1149</v>
      </c>
      <c r="R234" s="41"/>
      <c r="S234" s="39"/>
      <c r="T234" s="41" t="s">
        <v>1150</v>
      </c>
      <c r="U234" s="40" t="s">
        <v>1151</v>
      </c>
      <c r="V234" s="41"/>
      <c r="W234" s="40"/>
      <c r="X234" s="42" t="s">
        <v>1141</v>
      </c>
      <c r="Y234" s="42" t="s">
        <v>267</v>
      </c>
      <c r="Z234" s="43"/>
      <c r="AA234" s="44" t="s">
        <v>1142</v>
      </c>
      <c r="AB234" s="38" t="str">
        <f t="shared" si="3"/>
        <v>9N59116130</v>
      </c>
    </row>
    <row r="235" spans="4:28" ht="33" customHeight="1">
      <c r="D235" s="39"/>
      <c r="E235" s="45"/>
      <c r="F235" s="39">
        <v>400</v>
      </c>
      <c r="G235" s="39" t="s">
        <v>1066</v>
      </c>
      <c r="H235" s="39">
        <v>2130</v>
      </c>
      <c r="I235" s="39" t="s">
        <v>1152</v>
      </c>
      <c r="J235" s="40" t="s">
        <v>1153</v>
      </c>
      <c r="K235" s="39" t="s">
        <v>302</v>
      </c>
      <c r="L235" s="39" t="s">
        <v>303</v>
      </c>
      <c r="M235" s="39">
        <v>256</v>
      </c>
      <c r="N235" s="39"/>
      <c r="O235" s="39"/>
      <c r="P235" s="39"/>
      <c r="Q235" s="39" t="s">
        <v>1149</v>
      </c>
      <c r="R235" s="41"/>
      <c r="S235" s="39"/>
      <c r="T235" s="41" t="s">
        <v>1150</v>
      </c>
      <c r="U235" s="40" t="s">
        <v>1154</v>
      </c>
      <c r="V235" s="41"/>
      <c r="W235" s="40"/>
      <c r="X235" s="42"/>
      <c r="Y235" s="42" t="s">
        <v>267</v>
      </c>
      <c r="Z235" s="43"/>
      <c r="AA235" s="44"/>
      <c r="AB235" s="38" t="str">
        <f t="shared" si="3"/>
        <v>9N59116140</v>
      </c>
    </row>
    <row r="236" spans="4:28" ht="33" customHeight="1">
      <c r="D236" s="39"/>
      <c r="E236" s="45"/>
      <c r="F236" s="39">
        <v>400</v>
      </c>
      <c r="G236" s="39" t="s">
        <v>1066</v>
      </c>
      <c r="H236" s="39">
        <v>2140</v>
      </c>
      <c r="I236" s="39" t="s">
        <v>1149</v>
      </c>
      <c r="J236" s="40" t="s">
        <v>1134</v>
      </c>
      <c r="K236" s="39" t="s">
        <v>302</v>
      </c>
      <c r="L236" s="39" t="s">
        <v>303</v>
      </c>
      <c r="M236" s="39">
        <v>256</v>
      </c>
      <c r="N236" s="39"/>
      <c r="O236" s="39"/>
      <c r="P236" s="39"/>
      <c r="Q236" s="39"/>
      <c r="R236" s="41"/>
      <c r="S236" s="39"/>
      <c r="T236" s="41" t="s">
        <v>1155</v>
      </c>
      <c r="U236" s="40"/>
      <c r="V236" s="41"/>
      <c r="W236" s="40"/>
      <c r="X236" s="42"/>
      <c r="Y236" s="42" t="s">
        <v>267</v>
      </c>
      <c r="Z236" s="43" t="s">
        <v>1097</v>
      </c>
      <c r="AA236" s="44"/>
      <c r="AB236" s="38" t="str">
        <f t="shared" si="3"/>
        <v>9N59600000</v>
      </c>
    </row>
    <row r="237" spans="4:28" ht="33" customHeight="1">
      <c r="D237" s="39"/>
      <c r="E237" s="45"/>
      <c r="F237" s="39">
        <v>400</v>
      </c>
      <c r="G237" s="39" t="s">
        <v>1066</v>
      </c>
      <c r="H237" s="39">
        <v>2150</v>
      </c>
      <c r="I237" s="39" t="s">
        <v>1156</v>
      </c>
      <c r="J237" s="40" t="s">
        <v>1157</v>
      </c>
      <c r="K237" s="39" t="s">
        <v>307</v>
      </c>
      <c r="L237" s="39" t="s">
        <v>308</v>
      </c>
      <c r="M237" s="39">
        <v>1</v>
      </c>
      <c r="N237" s="39" t="s">
        <v>309</v>
      </c>
      <c r="O237" s="39"/>
      <c r="P237" s="39"/>
      <c r="Q237" s="39" t="s">
        <v>1158</v>
      </c>
      <c r="R237" s="41"/>
      <c r="S237" s="39"/>
      <c r="T237" s="41" t="s">
        <v>1159</v>
      </c>
      <c r="U237" s="40" t="s">
        <v>1160</v>
      </c>
      <c r="V237" s="41"/>
      <c r="W237" s="40"/>
      <c r="X237" s="42" t="s">
        <v>1141</v>
      </c>
      <c r="Y237" s="42" t="s">
        <v>267</v>
      </c>
      <c r="Z237" s="43"/>
      <c r="AA237" s="44" t="s">
        <v>1142</v>
      </c>
      <c r="AB237" s="38" t="str">
        <f t="shared" si="3"/>
        <v>9N60116130</v>
      </c>
    </row>
    <row r="238" spans="4:28" ht="33" customHeight="1">
      <c r="D238" s="39"/>
      <c r="E238" s="45"/>
      <c r="F238" s="39">
        <v>400</v>
      </c>
      <c r="G238" s="39" t="s">
        <v>1066</v>
      </c>
      <c r="H238" s="39">
        <v>2160</v>
      </c>
      <c r="I238" s="39" t="s">
        <v>1161</v>
      </c>
      <c r="J238" s="40" t="s">
        <v>1162</v>
      </c>
      <c r="K238" s="39" t="s">
        <v>302</v>
      </c>
      <c r="L238" s="39" t="s">
        <v>303</v>
      </c>
      <c r="M238" s="39">
        <v>256</v>
      </c>
      <c r="N238" s="39"/>
      <c r="O238" s="39"/>
      <c r="P238" s="39"/>
      <c r="Q238" s="39" t="s">
        <v>1158</v>
      </c>
      <c r="R238" s="41"/>
      <c r="S238" s="39"/>
      <c r="T238" s="41" t="s">
        <v>1159</v>
      </c>
      <c r="U238" s="40" t="s">
        <v>1163</v>
      </c>
      <c r="V238" s="41"/>
      <c r="W238" s="40"/>
      <c r="X238" s="42"/>
      <c r="Y238" s="42" t="s">
        <v>267</v>
      </c>
      <c r="Z238" s="43"/>
      <c r="AA238" s="44"/>
      <c r="AB238" s="38" t="str">
        <f t="shared" si="3"/>
        <v>9N60116140</v>
      </c>
    </row>
    <row r="239" spans="4:28" ht="33" customHeight="1">
      <c r="D239" s="39"/>
      <c r="E239" s="45"/>
      <c r="F239" s="39">
        <v>400</v>
      </c>
      <c r="G239" s="39" t="s">
        <v>1066</v>
      </c>
      <c r="H239" s="39">
        <v>2170</v>
      </c>
      <c r="I239" s="39" t="s">
        <v>1158</v>
      </c>
      <c r="J239" s="40" t="s">
        <v>1134</v>
      </c>
      <c r="K239" s="39" t="s">
        <v>302</v>
      </c>
      <c r="L239" s="39" t="s">
        <v>303</v>
      </c>
      <c r="M239" s="39">
        <v>256</v>
      </c>
      <c r="N239" s="39"/>
      <c r="O239" s="39"/>
      <c r="P239" s="39"/>
      <c r="Q239" s="39"/>
      <c r="R239" s="41"/>
      <c r="S239" s="39"/>
      <c r="T239" s="41" t="s">
        <v>1164</v>
      </c>
      <c r="U239" s="40"/>
      <c r="V239" s="41"/>
      <c r="W239" s="40"/>
      <c r="X239" s="42"/>
      <c r="Y239" s="42" t="s">
        <v>267</v>
      </c>
      <c r="Z239" s="43" t="s">
        <v>1097</v>
      </c>
      <c r="AA239" s="44"/>
      <c r="AB239" s="38" t="str">
        <f t="shared" si="3"/>
        <v>9N60600000</v>
      </c>
    </row>
    <row r="240" spans="4:28" ht="33" customHeight="1">
      <c r="D240" s="39"/>
      <c r="E240" s="45"/>
      <c r="F240" s="39">
        <v>400</v>
      </c>
      <c r="G240" s="39" t="s">
        <v>1066</v>
      </c>
      <c r="H240" s="39">
        <v>2180</v>
      </c>
      <c r="I240" s="39" t="s">
        <v>1165</v>
      </c>
      <c r="J240" s="40" t="s">
        <v>1166</v>
      </c>
      <c r="K240" s="39" t="s">
        <v>307</v>
      </c>
      <c r="L240" s="39" t="s">
        <v>308</v>
      </c>
      <c r="M240" s="39">
        <v>1</v>
      </c>
      <c r="N240" s="39" t="s">
        <v>309</v>
      </c>
      <c r="O240" s="39"/>
      <c r="P240" s="39"/>
      <c r="Q240" s="39" t="s">
        <v>1167</v>
      </c>
      <c r="R240" s="41"/>
      <c r="S240" s="39"/>
      <c r="T240" s="41" t="s">
        <v>1168</v>
      </c>
      <c r="U240" s="40" t="s">
        <v>1169</v>
      </c>
      <c r="V240" s="41"/>
      <c r="W240" s="40"/>
      <c r="X240" s="42" t="s">
        <v>1141</v>
      </c>
      <c r="Y240" s="42" t="s">
        <v>267</v>
      </c>
      <c r="Z240" s="43"/>
      <c r="AA240" s="44" t="s">
        <v>1142</v>
      </c>
      <c r="AB240" s="38" t="str">
        <f t="shared" si="3"/>
        <v>9N61116130</v>
      </c>
    </row>
    <row r="241" spans="4:28" ht="33" customHeight="1">
      <c r="D241" s="39"/>
      <c r="E241" s="45"/>
      <c r="F241" s="39">
        <v>400</v>
      </c>
      <c r="G241" s="39" t="s">
        <v>1066</v>
      </c>
      <c r="H241" s="39">
        <v>2190</v>
      </c>
      <c r="I241" s="39" t="s">
        <v>1170</v>
      </c>
      <c r="J241" s="40" t="s">
        <v>1171</v>
      </c>
      <c r="K241" s="39" t="s">
        <v>302</v>
      </c>
      <c r="L241" s="39" t="s">
        <v>303</v>
      </c>
      <c r="M241" s="39">
        <v>256</v>
      </c>
      <c r="N241" s="39"/>
      <c r="O241" s="39"/>
      <c r="P241" s="39"/>
      <c r="Q241" s="39" t="s">
        <v>1167</v>
      </c>
      <c r="R241" s="41"/>
      <c r="S241" s="39"/>
      <c r="T241" s="41" t="s">
        <v>1168</v>
      </c>
      <c r="U241" s="40" t="s">
        <v>1172</v>
      </c>
      <c r="V241" s="41"/>
      <c r="W241" s="40"/>
      <c r="X241" s="42"/>
      <c r="Y241" s="42" t="s">
        <v>267</v>
      </c>
      <c r="Z241" s="43"/>
      <c r="AA241" s="44"/>
      <c r="AB241" s="38" t="str">
        <f t="shared" si="3"/>
        <v>9N61116140</v>
      </c>
    </row>
    <row r="242" spans="4:28" ht="33" customHeight="1">
      <c r="D242" s="39"/>
      <c r="E242" s="45"/>
      <c r="F242" s="39">
        <v>400</v>
      </c>
      <c r="G242" s="39" t="s">
        <v>1066</v>
      </c>
      <c r="H242" s="39">
        <v>2200</v>
      </c>
      <c r="I242" s="39" t="s">
        <v>1167</v>
      </c>
      <c r="J242" s="40" t="s">
        <v>1134</v>
      </c>
      <c r="K242" s="39" t="s">
        <v>302</v>
      </c>
      <c r="L242" s="39" t="s">
        <v>303</v>
      </c>
      <c r="M242" s="39">
        <v>256</v>
      </c>
      <c r="N242" s="39"/>
      <c r="O242" s="39"/>
      <c r="P242" s="39"/>
      <c r="Q242" s="39"/>
      <c r="R242" s="41"/>
      <c r="S242" s="39"/>
      <c r="T242" s="41" t="s">
        <v>1173</v>
      </c>
      <c r="U242" s="40"/>
      <c r="V242" s="41"/>
      <c r="W242" s="40"/>
      <c r="X242" s="42"/>
      <c r="Y242" s="42" t="s">
        <v>267</v>
      </c>
      <c r="Z242" s="43" t="s">
        <v>1097</v>
      </c>
      <c r="AA242" s="44"/>
      <c r="AB242" s="38" t="str">
        <f t="shared" si="3"/>
        <v>9N61600000</v>
      </c>
    </row>
    <row r="243" spans="4:28" ht="33" customHeight="1">
      <c r="D243" s="39"/>
      <c r="E243" s="45"/>
      <c r="F243" s="39">
        <v>400</v>
      </c>
      <c r="G243" s="39" t="s">
        <v>1066</v>
      </c>
      <c r="H243" s="39">
        <v>2210</v>
      </c>
      <c r="I243" s="39" t="s">
        <v>1174</v>
      </c>
      <c r="J243" s="40" t="s">
        <v>1175</v>
      </c>
      <c r="K243" s="39" t="s">
        <v>307</v>
      </c>
      <c r="L243" s="39" t="s">
        <v>308</v>
      </c>
      <c r="M243" s="39">
        <v>1</v>
      </c>
      <c r="N243" s="39" t="s">
        <v>309</v>
      </c>
      <c r="O243" s="39"/>
      <c r="P243" s="39"/>
      <c r="Q243" s="39" t="s">
        <v>1176</v>
      </c>
      <c r="R243" s="41"/>
      <c r="S243" s="39"/>
      <c r="T243" s="41" t="s">
        <v>1177</v>
      </c>
      <c r="U243" s="40" t="s">
        <v>1178</v>
      </c>
      <c r="V243" s="41"/>
      <c r="W243" s="40"/>
      <c r="X243" s="42" t="s">
        <v>1141</v>
      </c>
      <c r="Y243" s="42" t="s">
        <v>267</v>
      </c>
      <c r="Z243" s="43"/>
      <c r="AA243" s="44" t="s">
        <v>1142</v>
      </c>
      <c r="AB243" s="38" t="str">
        <f t="shared" si="3"/>
        <v>9N62116130</v>
      </c>
    </row>
    <row r="244" spans="4:28" ht="33" customHeight="1">
      <c r="D244" s="39"/>
      <c r="E244" s="45"/>
      <c r="F244" s="39">
        <v>400</v>
      </c>
      <c r="G244" s="39" t="s">
        <v>1066</v>
      </c>
      <c r="H244" s="39">
        <v>2220</v>
      </c>
      <c r="I244" s="39" t="s">
        <v>1179</v>
      </c>
      <c r="J244" s="40" t="s">
        <v>1180</v>
      </c>
      <c r="K244" s="39" t="s">
        <v>302</v>
      </c>
      <c r="L244" s="39" t="s">
        <v>303</v>
      </c>
      <c r="M244" s="39">
        <v>256</v>
      </c>
      <c r="N244" s="39"/>
      <c r="O244" s="39"/>
      <c r="P244" s="39"/>
      <c r="Q244" s="39" t="s">
        <v>1176</v>
      </c>
      <c r="R244" s="41"/>
      <c r="S244" s="39"/>
      <c r="T244" s="41" t="s">
        <v>1177</v>
      </c>
      <c r="U244" s="40" t="s">
        <v>1181</v>
      </c>
      <c r="V244" s="41"/>
      <c r="W244" s="40"/>
      <c r="X244" s="42"/>
      <c r="Y244" s="42" t="s">
        <v>267</v>
      </c>
      <c r="Z244" s="43"/>
      <c r="AA244" s="44"/>
      <c r="AB244" s="38" t="str">
        <f t="shared" si="3"/>
        <v>9N62116140</v>
      </c>
    </row>
    <row r="245" spans="4:28" ht="33" customHeight="1">
      <c r="D245" s="39"/>
      <c r="E245" s="45"/>
      <c r="F245" s="39">
        <v>400</v>
      </c>
      <c r="G245" s="39" t="s">
        <v>1066</v>
      </c>
      <c r="H245" s="39">
        <v>2230</v>
      </c>
      <c r="I245" s="39" t="s">
        <v>1176</v>
      </c>
      <c r="J245" s="40" t="s">
        <v>1134</v>
      </c>
      <c r="K245" s="39" t="s">
        <v>302</v>
      </c>
      <c r="L245" s="39" t="s">
        <v>303</v>
      </c>
      <c r="M245" s="39">
        <v>64</v>
      </c>
      <c r="N245" s="39"/>
      <c r="O245" s="39"/>
      <c r="P245" s="39"/>
      <c r="Q245" s="39"/>
      <c r="R245" s="41"/>
      <c r="S245" s="39"/>
      <c r="T245" s="41" t="s">
        <v>1182</v>
      </c>
      <c r="U245" s="40"/>
      <c r="V245" s="41"/>
      <c r="W245" s="40"/>
      <c r="X245" s="42"/>
      <c r="Y245" s="42" t="s">
        <v>267</v>
      </c>
      <c r="Z245" s="43" t="s">
        <v>1097</v>
      </c>
      <c r="AA245" s="44"/>
      <c r="AB245" s="38" t="str">
        <f t="shared" si="3"/>
        <v>9N62600000</v>
      </c>
    </row>
    <row r="246" spans="4:28" ht="33" customHeight="1">
      <c r="D246" s="39"/>
      <c r="E246" s="45"/>
      <c r="F246" s="39">
        <v>400</v>
      </c>
      <c r="G246" s="39" t="s">
        <v>1066</v>
      </c>
      <c r="H246" s="39">
        <v>2240</v>
      </c>
      <c r="I246" s="39" t="s">
        <v>1183</v>
      </c>
      <c r="J246" s="40" t="s">
        <v>1184</v>
      </c>
      <c r="K246" s="39" t="s">
        <v>307</v>
      </c>
      <c r="L246" s="39" t="s">
        <v>308</v>
      </c>
      <c r="M246" s="39">
        <v>1</v>
      </c>
      <c r="N246" s="39" t="s">
        <v>309</v>
      </c>
      <c r="O246" s="39"/>
      <c r="P246" s="39"/>
      <c r="Q246" s="39" t="s">
        <v>1185</v>
      </c>
      <c r="R246" s="41"/>
      <c r="S246" s="39"/>
      <c r="T246" s="41" t="s">
        <v>1186</v>
      </c>
      <c r="U246" s="40" t="s">
        <v>1187</v>
      </c>
      <c r="V246" s="41"/>
      <c r="W246" s="40"/>
      <c r="X246" s="42" t="s">
        <v>1141</v>
      </c>
      <c r="Y246" s="42" t="s">
        <v>267</v>
      </c>
      <c r="Z246" s="43"/>
      <c r="AA246" s="44" t="s">
        <v>1142</v>
      </c>
      <c r="AB246" s="38" t="str">
        <f t="shared" si="3"/>
        <v>9N63116130</v>
      </c>
    </row>
    <row r="247" spans="4:28" ht="33" customHeight="1">
      <c r="D247" s="39"/>
      <c r="E247" s="45"/>
      <c r="F247" s="39">
        <v>400</v>
      </c>
      <c r="G247" s="39" t="s">
        <v>1066</v>
      </c>
      <c r="H247" s="39">
        <v>2250</v>
      </c>
      <c r="I247" s="39" t="s">
        <v>1188</v>
      </c>
      <c r="J247" s="40" t="s">
        <v>1189</v>
      </c>
      <c r="K247" s="39" t="s">
        <v>302</v>
      </c>
      <c r="L247" s="39" t="s">
        <v>303</v>
      </c>
      <c r="M247" s="39">
        <v>256</v>
      </c>
      <c r="N247" s="39"/>
      <c r="O247" s="39"/>
      <c r="P247" s="39"/>
      <c r="Q247" s="39" t="s">
        <v>1185</v>
      </c>
      <c r="R247" s="41"/>
      <c r="S247" s="39"/>
      <c r="T247" s="41" t="s">
        <v>1186</v>
      </c>
      <c r="U247" s="40" t="s">
        <v>1190</v>
      </c>
      <c r="V247" s="41"/>
      <c r="W247" s="40"/>
      <c r="X247" s="42"/>
      <c r="Y247" s="42" t="s">
        <v>267</v>
      </c>
      <c r="Z247" s="43"/>
      <c r="AA247" s="44"/>
      <c r="AB247" s="38" t="str">
        <f t="shared" si="3"/>
        <v>9N63116140</v>
      </c>
    </row>
    <row r="248" spans="4:28" ht="33" customHeight="1">
      <c r="D248" s="39"/>
      <c r="E248" s="45"/>
      <c r="F248" s="39">
        <v>400</v>
      </c>
      <c r="G248" s="39" t="s">
        <v>1066</v>
      </c>
      <c r="H248" s="39">
        <v>2260</v>
      </c>
      <c r="I248" s="39" t="s">
        <v>1185</v>
      </c>
      <c r="J248" s="40" t="s">
        <v>1134</v>
      </c>
      <c r="K248" s="39" t="s">
        <v>302</v>
      </c>
      <c r="L248" s="39" t="s">
        <v>303</v>
      </c>
      <c r="M248" s="39">
        <v>256</v>
      </c>
      <c r="N248" s="39"/>
      <c r="O248" s="39"/>
      <c r="P248" s="39"/>
      <c r="Q248" s="39"/>
      <c r="R248" s="41"/>
      <c r="S248" s="39"/>
      <c r="T248" s="41" t="s">
        <v>1191</v>
      </c>
      <c r="U248" s="40"/>
      <c r="V248" s="41"/>
      <c r="W248" s="40"/>
      <c r="X248" s="42"/>
      <c r="Y248" s="42" t="s">
        <v>267</v>
      </c>
      <c r="Z248" s="43" t="s">
        <v>1097</v>
      </c>
      <c r="AA248" s="44"/>
      <c r="AB248" s="38" t="str">
        <f t="shared" si="3"/>
        <v>9N63600000</v>
      </c>
    </row>
    <row r="249" spans="4:28" ht="33" customHeight="1">
      <c r="D249" s="39"/>
      <c r="E249" s="45"/>
      <c r="F249" s="39">
        <v>400</v>
      </c>
      <c r="G249" s="39" t="s">
        <v>1066</v>
      </c>
      <c r="H249" s="39">
        <v>2270</v>
      </c>
      <c r="I249" s="39" t="s">
        <v>1192</v>
      </c>
      <c r="J249" s="40" t="s">
        <v>1193</v>
      </c>
      <c r="K249" s="39" t="s">
        <v>302</v>
      </c>
      <c r="L249" s="39" t="s">
        <v>303</v>
      </c>
      <c r="M249" s="39">
        <v>256</v>
      </c>
      <c r="N249" s="39"/>
      <c r="O249" s="39"/>
      <c r="P249" s="39"/>
      <c r="Q249" s="39" t="s">
        <v>1194</v>
      </c>
      <c r="R249" s="41"/>
      <c r="S249" s="39"/>
      <c r="T249" s="41" t="s">
        <v>1195</v>
      </c>
      <c r="U249" s="40" t="s">
        <v>1196</v>
      </c>
      <c r="V249" s="41"/>
      <c r="W249" s="40"/>
      <c r="X249" s="42"/>
      <c r="Y249" s="42" t="s">
        <v>267</v>
      </c>
      <c r="Z249" s="43"/>
      <c r="AA249" s="44"/>
      <c r="AB249" s="38" t="str">
        <f t="shared" si="3"/>
        <v>9N64100000</v>
      </c>
    </row>
    <row r="250" spans="4:28" ht="33" customHeight="1">
      <c r="D250" s="39"/>
      <c r="E250" s="45"/>
      <c r="F250" s="39">
        <v>400</v>
      </c>
      <c r="G250" s="39" t="s">
        <v>1066</v>
      </c>
      <c r="H250" s="39">
        <v>2280</v>
      </c>
      <c r="I250" s="39" t="s">
        <v>1194</v>
      </c>
      <c r="J250" s="40" t="s">
        <v>1134</v>
      </c>
      <c r="K250" s="39" t="s">
        <v>302</v>
      </c>
      <c r="L250" s="39" t="s">
        <v>303</v>
      </c>
      <c r="M250" s="39">
        <v>64</v>
      </c>
      <c r="N250" s="39"/>
      <c r="O250" s="39"/>
      <c r="P250" s="39"/>
      <c r="Q250" s="39"/>
      <c r="R250" s="41"/>
      <c r="S250" s="39"/>
      <c r="T250" s="41" t="s">
        <v>1197</v>
      </c>
      <c r="U250" s="40"/>
      <c r="V250" s="41"/>
      <c r="W250" s="40"/>
      <c r="X250" s="42"/>
      <c r="Y250" s="42" t="s">
        <v>267</v>
      </c>
      <c r="Z250" s="43" t="s">
        <v>1097</v>
      </c>
      <c r="AA250" s="44"/>
      <c r="AB250" s="38" t="str">
        <f t="shared" si="3"/>
        <v>9N64600000</v>
      </c>
    </row>
    <row r="251" spans="4:28" ht="33" customHeight="1">
      <c r="D251" s="39" t="s">
        <v>1065</v>
      </c>
      <c r="E251" s="39" t="s">
        <v>1065</v>
      </c>
      <c r="F251" s="39">
        <v>500</v>
      </c>
      <c r="G251" s="39" t="s">
        <v>1198</v>
      </c>
      <c r="H251" s="39">
        <v>2290</v>
      </c>
      <c r="I251" s="39" t="s">
        <v>1199</v>
      </c>
      <c r="J251" s="40" t="s">
        <v>1200</v>
      </c>
      <c r="K251" s="39" t="s">
        <v>307</v>
      </c>
      <c r="L251" s="39" t="s">
        <v>308</v>
      </c>
      <c r="M251" s="39">
        <v>1</v>
      </c>
      <c r="N251" s="39" t="s">
        <v>309</v>
      </c>
      <c r="O251" s="39"/>
      <c r="P251" s="39"/>
      <c r="Q251" s="39"/>
      <c r="R251" s="41"/>
      <c r="S251" s="39"/>
      <c r="T251" s="41" t="s">
        <v>1201</v>
      </c>
      <c r="U251" s="40" t="s">
        <v>1202</v>
      </c>
      <c r="V251" s="41"/>
      <c r="W251" s="40"/>
      <c r="X251" s="42" t="s">
        <v>1203</v>
      </c>
      <c r="Y251" s="42" t="s">
        <v>267</v>
      </c>
      <c r="Z251" s="43"/>
      <c r="AA251" s="44" t="s">
        <v>1204</v>
      </c>
      <c r="AB251" s="38" t="str">
        <f t="shared" si="3"/>
        <v>9N70100000</v>
      </c>
    </row>
    <row r="252" spans="4:28" ht="33" customHeight="1">
      <c r="D252" s="39" t="s">
        <v>1082</v>
      </c>
      <c r="E252" s="39" t="s">
        <v>1082</v>
      </c>
      <c r="F252" s="39">
        <v>500</v>
      </c>
      <c r="G252" s="39" t="s">
        <v>1198</v>
      </c>
      <c r="H252" s="39">
        <v>2300</v>
      </c>
      <c r="I252" s="39" t="s">
        <v>1205</v>
      </c>
      <c r="J252" s="40" t="s">
        <v>1206</v>
      </c>
      <c r="K252" s="39" t="s">
        <v>302</v>
      </c>
      <c r="L252" s="39" t="s">
        <v>303</v>
      </c>
      <c r="M252" s="39">
        <v>256</v>
      </c>
      <c r="N252" s="39"/>
      <c r="O252" s="39"/>
      <c r="P252" s="39"/>
      <c r="Q252" s="39"/>
      <c r="R252" s="41"/>
      <c r="S252" s="39"/>
      <c r="T252" s="41" t="s">
        <v>1201</v>
      </c>
      <c r="U252" s="40" t="s">
        <v>1202</v>
      </c>
      <c r="V252" s="41"/>
      <c r="W252" s="40"/>
      <c r="X252" s="42"/>
      <c r="Y252" s="42" t="s">
        <v>267</v>
      </c>
      <c r="Z252" s="43"/>
      <c r="AA252" s="44"/>
      <c r="AB252" s="38" t="str">
        <f t="shared" si="3"/>
        <v>9N70116700</v>
      </c>
    </row>
    <row r="253" spans="4:28" ht="33" customHeight="1">
      <c r="D253" s="39" t="s">
        <v>1082</v>
      </c>
      <c r="E253" s="39" t="s">
        <v>1082</v>
      </c>
      <c r="F253" s="39">
        <v>500</v>
      </c>
      <c r="G253" s="39" t="s">
        <v>1198</v>
      </c>
      <c r="H253" s="39">
        <v>2310</v>
      </c>
      <c r="I253" s="39" t="s">
        <v>1207</v>
      </c>
      <c r="J253" s="40" t="s">
        <v>1208</v>
      </c>
      <c r="K253" s="39" t="s">
        <v>302</v>
      </c>
      <c r="L253" s="39" t="s">
        <v>303</v>
      </c>
      <c r="M253" s="39">
        <v>256</v>
      </c>
      <c r="N253" s="39"/>
      <c r="O253" s="39"/>
      <c r="P253" s="39"/>
      <c r="Q253" s="39"/>
      <c r="R253" s="41"/>
      <c r="S253" s="39"/>
      <c r="T253" s="41" t="s">
        <v>1201</v>
      </c>
      <c r="U253" s="40" t="s">
        <v>1202</v>
      </c>
      <c r="V253" s="41"/>
      <c r="W253" s="40"/>
      <c r="X253" s="42"/>
      <c r="Y253" s="42" t="s">
        <v>267</v>
      </c>
      <c r="Z253" s="43"/>
      <c r="AA253" s="44"/>
      <c r="AB253" s="38" t="str">
        <f t="shared" si="3"/>
        <v>9N70116710</v>
      </c>
    </row>
    <row r="254" spans="4:28" ht="33" customHeight="1">
      <c r="D254" s="45"/>
      <c r="E254" s="39" t="s">
        <v>1082</v>
      </c>
      <c r="F254" s="39">
        <v>500</v>
      </c>
      <c r="G254" s="39" t="s">
        <v>1198</v>
      </c>
      <c r="H254" s="39">
        <v>2315</v>
      </c>
      <c r="I254" s="39" t="s">
        <v>1209</v>
      </c>
      <c r="J254" s="40" t="s">
        <v>1210</v>
      </c>
      <c r="K254" s="39" t="s">
        <v>307</v>
      </c>
      <c r="L254" s="39" t="s">
        <v>308</v>
      </c>
      <c r="M254" s="39">
        <v>1</v>
      </c>
      <c r="N254" s="39" t="s">
        <v>309</v>
      </c>
      <c r="O254" s="39"/>
      <c r="P254" s="39"/>
      <c r="Q254" s="39"/>
      <c r="R254" s="41"/>
      <c r="S254" s="39"/>
      <c r="T254" s="41" t="s">
        <v>1211</v>
      </c>
      <c r="U254" s="40" t="s">
        <v>1212</v>
      </c>
      <c r="V254" s="41"/>
      <c r="W254" s="40"/>
      <c r="X254" s="48" t="s">
        <v>1213</v>
      </c>
      <c r="Y254" s="42" t="s">
        <v>267</v>
      </c>
      <c r="Z254" s="43" t="s">
        <v>590</v>
      </c>
      <c r="AA254" s="44" t="s">
        <v>1214</v>
      </c>
      <c r="AB254" s="38" t="str">
        <f t="shared" si="3"/>
        <v>9N70216720</v>
      </c>
    </row>
    <row r="255" spans="4:28" ht="33" customHeight="1">
      <c r="D255" s="39" t="s">
        <v>1065</v>
      </c>
      <c r="E255" s="39" t="s">
        <v>1065</v>
      </c>
      <c r="F255" s="39">
        <v>500</v>
      </c>
      <c r="G255" s="39" t="s">
        <v>1198</v>
      </c>
      <c r="H255" s="39">
        <v>2320</v>
      </c>
      <c r="I255" s="39" t="s">
        <v>1215</v>
      </c>
      <c r="J255" s="40" t="s">
        <v>1216</v>
      </c>
      <c r="K255" s="39" t="s">
        <v>307</v>
      </c>
      <c r="L255" s="39" t="s">
        <v>308</v>
      </c>
      <c r="M255" s="39">
        <v>1</v>
      </c>
      <c r="N255" s="39" t="s">
        <v>309</v>
      </c>
      <c r="O255" s="39"/>
      <c r="P255" s="39"/>
      <c r="Q255" s="39"/>
      <c r="R255" s="41"/>
      <c r="S255" s="39"/>
      <c r="T255" s="41" t="s">
        <v>1217</v>
      </c>
      <c r="U255" s="40" t="s">
        <v>1218</v>
      </c>
      <c r="V255" s="41"/>
      <c r="W255" s="40"/>
      <c r="X255" s="42" t="s">
        <v>1203</v>
      </c>
      <c r="Y255" s="42" t="s">
        <v>267</v>
      </c>
      <c r="Z255" s="43"/>
      <c r="AA255" s="44" t="s">
        <v>1204</v>
      </c>
      <c r="AB255" s="38" t="str">
        <f t="shared" si="3"/>
        <v>9N70600000</v>
      </c>
    </row>
    <row r="256" spans="4:28" ht="33" customHeight="1">
      <c r="D256" s="39" t="s">
        <v>1082</v>
      </c>
      <c r="E256" s="39" t="s">
        <v>1082</v>
      </c>
      <c r="F256" s="39">
        <v>500</v>
      </c>
      <c r="G256" s="39" t="s">
        <v>1198</v>
      </c>
      <c r="H256" s="39">
        <v>2330</v>
      </c>
      <c r="I256" s="39" t="s">
        <v>1219</v>
      </c>
      <c r="J256" s="40" t="s">
        <v>1220</v>
      </c>
      <c r="K256" s="39" t="s">
        <v>302</v>
      </c>
      <c r="L256" s="39" t="s">
        <v>303</v>
      </c>
      <c r="M256" s="39">
        <v>256</v>
      </c>
      <c r="N256" s="39"/>
      <c r="O256" s="39"/>
      <c r="P256" s="39"/>
      <c r="Q256" s="39"/>
      <c r="R256" s="41"/>
      <c r="S256" s="39"/>
      <c r="T256" s="41" t="s">
        <v>1217</v>
      </c>
      <c r="U256" s="40" t="s">
        <v>1218</v>
      </c>
      <c r="V256" s="41"/>
      <c r="W256" s="40"/>
      <c r="X256" s="42"/>
      <c r="Y256" s="42" t="s">
        <v>267</v>
      </c>
      <c r="Z256" s="43"/>
      <c r="AA256" s="44"/>
      <c r="AB256" s="38" t="str">
        <f t="shared" si="3"/>
        <v>9N70616700</v>
      </c>
    </row>
    <row r="257" spans="4:28" ht="33" customHeight="1">
      <c r="D257" s="39" t="s">
        <v>1082</v>
      </c>
      <c r="E257" s="39" t="s">
        <v>1082</v>
      </c>
      <c r="F257" s="39">
        <v>500</v>
      </c>
      <c r="G257" s="39" t="s">
        <v>1198</v>
      </c>
      <c r="H257" s="39">
        <v>2340</v>
      </c>
      <c r="I257" s="39" t="s">
        <v>1221</v>
      </c>
      <c r="J257" s="40" t="s">
        <v>1222</v>
      </c>
      <c r="K257" s="39" t="s">
        <v>302</v>
      </c>
      <c r="L257" s="39" t="s">
        <v>303</v>
      </c>
      <c r="M257" s="39">
        <v>256</v>
      </c>
      <c r="N257" s="39"/>
      <c r="O257" s="39"/>
      <c r="P257" s="39"/>
      <c r="Q257" s="39"/>
      <c r="R257" s="41"/>
      <c r="S257" s="39"/>
      <c r="T257" s="41" t="s">
        <v>1217</v>
      </c>
      <c r="U257" s="40" t="s">
        <v>1218</v>
      </c>
      <c r="V257" s="41"/>
      <c r="W257" s="40"/>
      <c r="X257" s="42"/>
      <c r="Y257" s="42" t="s">
        <v>267</v>
      </c>
      <c r="Z257" s="43"/>
      <c r="AA257" s="44"/>
      <c r="AB257" s="38" t="str">
        <f t="shared" si="3"/>
        <v>9N70616710</v>
      </c>
    </row>
    <row r="258" spans="4:28" ht="33" customHeight="1">
      <c r="D258" s="45"/>
      <c r="E258" s="39" t="s">
        <v>1082</v>
      </c>
      <c r="F258" s="39">
        <v>500</v>
      </c>
      <c r="G258" s="39" t="s">
        <v>1198</v>
      </c>
      <c r="H258" s="39">
        <v>2345</v>
      </c>
      <c r="I258" s="39" t="s">
        <v>1223</v>
      </c>
      <c r="J258" s="40" t="s">
        <v>1224</v>
      </c>
      <c r="K258" s="39" t="s">
        <v>307</v>
      </c>
      <c r="L258" s="39" t="s">
        <v>308</v>
      </c>
      <c r="M258" s="39">
        <v>1</v>
      </c>
      <c r="N258" s="39" t="s">
        <v>309</v>
      </c>
      <c r="O258" s="39"/>
      <c r="P258" s="39"/>
      <c r="Q258" s="39"/>
      <c r="R258" s="41"/>
      <c r="S258" s="39"/>
      <c r="T258" s="41" t="s">
        <v>1225</v>
      </c>
      <c r="U258" s="40" t="s">
        <v>1226</v>
      </c>
      <c r="V258" s="41"/>
      <c r="W258" s="40"/>
      <c r="X258" s="48" t="s">
        <v>1213</v>
      </c>
      <c r="Y258" s="42" t="s">
        <v>267</v>
      </c>
      <c r="Z258" s="43" t="s">
        <v>590</v>
      </c>
      <c r="AA258" s="44" t="s">
        <v>1214</v>
      </c>
      <c r="AB258" s="38" t="str">
        <f t="shared" si="3"/>
        <v>9N70716720</v>
      </c>
    </row>
    <row r="259" spans="4:28" ht="33" customHeight="1">
      <c r="D259" s="39" t="s">
        <v>1065</v>
      </c>
      <c r="E259" s="39" t="s">
        <v>1065</v>
      </c>
      <c r="F259" s="39">
        <v>500</v>
      </c>
      <c r="G259" s="39" t="s">
        <v>1198</v>
      </c>
      <c r="H259" s="39">
        <v>2350</v>
      </c>
      <c r="I259" s="39" t="s">
        <v>1227</v>
      </c>
      <c r="J259" s="40" t="s">
        <v>1228</v>
      </c>
      <c r="K259" s="39" t="s">
        <v>307</v>
      </c>
      <c r="L259" s="39" t="s">
        <v>308</v>
      </c>
      <c r="M259" s="39">
        <v>1</v>
      </c>
      <c r="N259" s="39" t="s">
        <v>309</v>
      </c>
      <c r="O259" s="39"/>
      <c r="P259" s="39"/>
      <c r="Q259" s="39"/>
      <c r="R259" s="41"/>
      <c r="S259" s="39"/>
      <c r="T259" s="41" t="s">
        <v>1229</v>
      </c>
      <c r="U259" s="40" t="s">
        <v>1230</v>
      </c>
      <c r="V259" s="41"/>
      <c r="W259" s="40"/>
      <c r="X259" s="42" t="s">
        <v>1203</v>
      </c>
      <c r="Y259" s="42" t="s">
        <v>267</v>
      </c>
      <c r="Z259" s="43"/>
      <c r="AA259" s="44" t="s">
        <v>1204</v>
      </c>
      <c r="AB259" s="38" t="str">
        <f t="shared" ref="AB259:AB322" si="4">LEFT(I259,10)</f>
        <v>9N71100000</v>
      </c>
    </row>
    <row r="260" spans="4:28" ht="33" customHeight="1">
      <c r="D260" s="39" t="s">
        <v>1082</v>
      </c>
      <c r="E260" s="39" t="s">
        <v>1082</v>
      </c>
      <c r="F260" s="39">
        <v>500</v>
      </c>
      <c r="G260" s="39" t="s">
        <v>1198</v>
      </c>
      <c r="H260" s="39">
        <v>2360</v>
      </c>
      <c r="I260" s="39" t="s">
        <v>1231</v>
      </c>
      <c r="J260" s="40" t="s">
        <v>1232</v>
      </c>
      <c r="K260" s="39" t="s">
        <v>302</v>
      </c>
      <c r="L260" s="39" t="s">
        <v>303</v>
      </c>
      <c r="M260" s="39">
        <v>256</v>
      </c>
      <c r="N260" s="39"/>
      <c r="O260" s="39"/>
      <c r="P260" s="39"/>
      <c r="Q260" s="39"/>
      <c r="R260" s="41"/>
      <c r="S260" s="39"/>
      <c r="T260" s="41" t="s">
        <v>1229</v>
      </c>
      <c r="U260" s="40" t="s">
        <v>1230</v>
      </c>
      <c r="V260" s="41"/>
      <c r="W260" s="40"/>
      <c r="X260" s="42"/>
      <c r="Y260" s="42" t="s">
        <v>267</v>
      </c>
      <c r="Z260" s="43"/>
      <c r="AA260" s="44"/>
      <c r="AB260" s="38" t="str">
        <f t="shared" si="4"/>
        <v>9N71116700</v>
      </c>
    </row>
    <row r="261" spans="4:28" ht="33" customHeight="1">
      <c r="D261" s="39" t="s">
        <v>1082</v>
      </c>
      <c r="E261" s="39" t="s">
        <v>1082</v>
      </c>
      <c r="F261" s="39">
        <v>500</v>
      </c>
      <c r="G261" s="39" t="s">
        <v>1198</v>
      </c>
      <c r="H261" s="39">
        <v>2370</v>
      </c>
      <c r="I261" s="39" t="s">
        <v>1233</v>
      </c>
      <c r="J261" s="40" t="s">
        <v>1234</v>
      </c>
      <c r="K261" s="39" t="s">
        <v>302</v>
      </c>
      <c r="L261" s="39" t="s">
        <v>303</v>
      </c>
      <c r="M261" s="39">
        <v>256</v>
      </c>
      <c r="N261" s="39"/>
      <c r="O261" s="39"/>
      <c r="P261" s="39"/>
      <c r="Q261" s="39"/>
      <c r="R261" s="41"/>
      <c r="S261" s="39"/>
      <c r="T261" s="41" t="s">
        <v>1229</v>
      </c>
      <c r="U261" s="40" t="s">
        <v>1230</v>
      </c>
      <c r="V261" s="41"/>
      <c r="W261" s="40"/>
      <c r="X261" s="42"/>
      <c r="Y261" s="42" t="s">
        <v>267</v>
      </c>
      <c r="Z261" s="43"/>
      <c r="AA261" s="44"/>
      <c r="AB261" s="38" t="str">
        <f t="shared" si="4"/>
        <v>9N71116710</v>
      </c>
    </row>
    <row r="262" spans="4:28" ht="33" customHeight="1">
      <c r="D262" s="45"/>
      <c r="E262" s="39" t="s">
        <v>1082</v>
      </c>
      <c r="F262" s="39">
        <v>500</v>
      </c>
      <c r="G262" s="39" t="s">
        <v>1198</v>
      </c>
      <c r="H262" s="39">
        <v>2375</v>
      </c>
      <c r="I262" s="39" t="s">
        <v>1235</v>
      </c>
      <c r="J262" s="40" t="s">
        <v>1236</v>
      </c>
      <c r="K262" s="39" t="s">
        <v>307</v>
      </c>
      <c r="L262" s="39" t="s">
        <v>308</v>
      </c>
      <c r="M262" s="39">
        <v>1</v>
      </c>
      <c r="N262" s="39" t="s">
        <v>309</v>
      </c>
      <c r="O262" s="39"/>
      <c r="P262" s="39"/>
      <c r="Q262" s="39"/>
      <c r="R262" s="41"/>
      <c r="S262" s="39"/>
      <c r="T262" s="41" t="s">
        <v>1237</v>
      </c>
      <c r="U262" s="40" t="s">
        <v>1238</v>
      </c>
      <c r="V262" s="41"/>
      <c r="W262" s="40"/>
      <c r="X262" s="48" t="s">
        <v>1213</v>
      </c>
      <c r="Y262" s="42" t="s">
        <v>267</v>
      </c>
      <c r="Z262" s="43" t="s">
        <v>590</v>
      </c>
      <c r="AA262" s="44" t="s">
        <v>1214</v>
      </c>
      <c r="AB262" s="38" t="str">
        <f t="shared" si="4"/>
        <v>9N71216720</v>
      </c>
    </row>
    <row r="263" spans="4:28" ht="33" customHeight="1">
      <c r="D263" s="39" t="s">
        <v>1082</v>
      </c>
      <c r="E263" s="39" t="s">
        <v>1082</v>
      </c>
      <c r="F263" s="39">
        <v>500</v>
      </c>
      <c r="G263" s="39" t="s">
        <v>1198</v>
      </c>
      <c r="H263" s="39">
        <v>2380</v>
      </c>
      <c r="I263" s="39" t="s">
        <v>1239</v>
      </c>
      <c r="J263" s="40" t="s">
        <v>1240</v>
      </c>
      <c r="K263" s="39" t="s">
        <v>307</v>
      </c>
      <c r="L263" s="39" t="s">
        <v>308</v>
      </c>
      <c r="M263" s="39">
        <v>1</v>
      </c>
      <c r="N263" s="39" t="s">
        <v>309</v>
      </c>
      <c r="O263" s="39"/>
      <c r="P263" s="39"/>
      <c r="Q263" s="39"/>
      <c r="R263" s="41"/>
      <c r="S263" s="39"/>
      <c r="T263" s="41" t="s">
        <v>1241</v>
      </c>
      <c r="U263" s="40" t="s">
        <v>1242</v>
      </c>
      <c r="V263" s="41"/>
      <c r="W263" s="40"/>
      <c r="X263" s="42" t="s">
        <v>1203</v>
      </c>
      <c r="Y263" s="42" t="s">
        <v>267</v>
      </c>
      <c r="Z263" s="43"/>
      <c r="AA263" s="44" t="s">
        <v>1204</v>
      </c>
      <c r="AB263" s="38" t="str">
        <f t="shared" si="4"/>
        <v>9N71600000</v>
      </c>
    </row>
    <row r="264" spans="4:28" ht="33" customHeight="1">
      <c r="D264" s="39" t="s">
        <v>1082</v>
      </c>
      <c r="E264" s="39" t="s">
        <v>1082</v>
      </c>
      <c r="F264" s="39">
        <v>500</v>
      </c>
      <c r="G264" s="39" t="s">
        <v>1198</v>
      </c>
      <c r="H264" s="39">
        <v>2390</v>
      </c>
      <c r="I264" s="39" t="s">
        <v>1243</v>
      </c>
      <c r="J264" s="40" t="s">
        <v>1244</v>
      </c>
      <c r="K264" s="39" t="s">
        <v>307</v>
      </c>
      <c r="L264" s="39" t="s">
        <v>308</v>
      </c>
      <c r="M264" s="39">
        <v>1</v>
      </c>
      <c r="N264" s="39" t="s">
        <v>309</v>
      </c>
      <c r="O264" s="39"/>
      <c r="P264" s="39"/>
      <c r="Q264" s="39"/>
      <c r="R264" s="41"/>
      <c r="S264" s="39"/>
      <c r="T264" s="41" t="s">
        <v>1245</v>
      </c>
      <c r="U264" s="40" t="s">
        <v>1246</v>
      </c>
      <c r="V264" s="41"/>
      <c r="W264" s="40"/>
      <c r="X264" s="42" t="s">
        <v>1203</v>
      </c>
      <c r="Y264" s="42" t="s">
        <v>267</v>
      </c>
      <c r="Z264" s="43"/>
      <c r="AA264" s="44" t="s">
        <v>1204</v>
      </c>
      <c r="AB264" s="38" t="str">
        <f t="shared" si="4"/>
        <v>9N72100000</v>
      </c>
    </row>
    <row r="265" spans="4:28" ht="33" customHeight="1">
      <c r="D265" s="39" t="s">
        <v>1082</v>
      </c>
      <c r="E265" s="39" t="s">
        <v>1082</v>
      </c>
      <c r="F265" s="39">
        <v>500</v>
      </c>
      <c r="G265" s="39" t="s">
        <v>1198</v>
      </c>
      <c r="H265" s="39">
        <v>2400</v>
      </c>
      <c r="I265" s="39" t="s">
        <v>1247</v>
      </c>
      <c r="J265" s="40" t="s">
        <v>1248</v>
      </c>
      <c r="K265" s="39" t="s">
        <v>307</v>
      </c>
      <c r="L265" s="39" t="s">
        <v>308</v>
      </c>
      <c r="M265" s="39">
        <v>1</v>
      </c>
      <c r="N265" s="39" t="s">
        <v>309</v>
      </c>
      <c r="O265" s="39"/>
      <c r="P265" s="39"/>
      <c r="Q265" s="39"/>
      <c r="R265" s="41"/>
      <c r="S265" s="39"/>
      <c r="T265" s="41" t="s">
        <v>1249</v>
      </c>
      <c r="U265" s="40" t="s">
        <v>1250</v>
      </c>
      <c r="V265" s="41"/>
      <c r="W265" s="40"/>
      <c r="X265" s="42" t="s">
        <v>1203</v>
      </c>
      <c r="Y265" s="42" t="s">
        <v>267</v>
      </c>
      <c r="Z265" s="43"/>
      <c r="AA265" s="44" t="s">
        <v>1204</v>
      </c>
      <c r="AB265" s="38" t="str">
        <f t="shared" si="4"/>
        <v>9N72600000</v>
      </c>
    </row>
    <row r="266" spans="4:28" ht="33" customHeight="1">
      <c r="D266" s="39" t="s">
        <v>1082</v>
      </c>
      <c r="E266" s="39" t="s">
        <v>1082</v>
      </c>
      <c r="F266" s="39">
        <v>500</v>
      </c>
      <c r="G266" s="39" t="s">
        <v>1198</v>
      </c>
      <c r="H266" s="39">
        <v>2410</v>
      </c>
      <c r="I266" s="39" t="s">
        <v>1251</v>
      </c>
      <c r="J266" s="40" t="s">
        <v>1252</v>
      </c>
      <c r="K266" s="39" t="s">
        <v>307</v>
      </c>
      <c r="L266" s="39" t="s">
        <v>308</v>
      </c>
      <c r="M266" s="39">
        <v>1</v>
      </c>
      <c r="N266" s="39" t="s">
        <v>309</v>
      </c>
      <c r="O266" s="39"/>
      <c r="P266" s="39"/>
      <c r="Q266" s="39"/>
      <c r="R266" s="41"/>
      <c r="S266" s="39"/>
      <c r="T266" s="41" t="s">
        <v>1253</v>
      </c>
      <c r="U266" s="40" t="s">
        <v>1252</v>
      </c>
      <c r="V266" s="41"/>
      <c r="W266" s="40"/>
      <c r="X266" s="42" t="s">
        <v>1203</v>
      </c>
      <c r="Y266" s="42" t="s">
        <v>267</v>
      </c>
      <c r="Z266" s="43"/>
      <c r="AA266" s="44" t="s">
        <v>1204</v>
      </c>
      <c r="AB266" s="38" t="str">
        <f t="shared" si="4"/>
        <v>9N73100000</v>
      </c>
    </row>
    <row r="267" spans="4:28" ht="56.25" customHeight="1">
      <c r="D267" s="39" t="s">
        <v>1065</v>
      </c>
      <c r="E267" s="39" t="s">
        <v>1065</v>
      </c>
      <c r="F267" s="39">
        <v>500</v>
      </c>
      <c r="G267" s="39" t="s">
        <v>1198</v>
      </c>
      <c r="H267" s="39">
        <v>2420</v>
      </c>
      <c r="I267" s="39" t="s">
        <v>1254</v>
      </c>
      <c r="J267" s="40" t="s">
        <v>1255</v>
      </c>
      <c r="K267" s="39" t="s">
        <v>307</v>
      </c>
      <c r="L267" s="39" t="s">
        <v>308</v>
      </c>
      <c r="M267" s="39">
        <v>1</v>
      </c>
      <c r="N267" s="39" t="s">
        <v>309</v>
      </c>
      <c r="O267" s="39"/>
      <c r="P267" s="39"/>
      <c r="Q267" s="39"/>
      <c r="R267" s="41"/>
      <c r="S267" s="39"/>
      <c r="T267" s="41" t="s">
        <v>1256</v>
      </c>
      <c r="U267" s="40" t="s">
        <v>1255</v>
      </c>
      <c r="V267" s="41"/>
      <c r="W267" s="40"/>
      <c r="X267" s="43" t="s">
        <v>1257</v>
      </c>
      <c r="Y267" s="42" t="s">
        <v>267</v>
      </c>
      <c r="Z267" s="43"/>
      <c r="AA267" s="44" t="s">
        <v>1258</v>
      </c>
      <c r="AB267" s="38" t="str">
        <f t="shared" si="4"/>
        <v>9N73600000</v>
      </c>
    </row>
    <row r="268" spans="4:28" ht="33" customHeight="1">
      <c r="D268" s="39" t="s">
        <v>1082</v>
      </c>
      <c r="E268" s="39" t="s">
        <v>1082</v>
      </c>
      <c r="F268" s="39">
        <v>500</v>
      </c>
      <c r="G268" s="39" t="s">
        <v>1198</v>
      </c>
      <c r="H268" s="39">
        <v>2430</v>
      </c>
      <c r="I268" s="39" t="s">
        <v>1259</v>
      </c>
      <c r="J268" s="40" t="s">
        <v>1260</v>
      </c>
      <c r="K268" s="39" t="s">
        <v>307</v>
      </c>
      <c r="L268" s="39" t="s">
        <v>308</v>
      </c>
      <c r="M268" s="39">
        <v>1</v>
      </c>
      <c r="N268" s="39" t="s">
        <v>309</v>
      </c>
      <c r="O268" s="39"/>
      <c r="P268" s="39"/>
      <c r="Q268" s="39"/>
      <c r="R268" s="41"/>
      <c r="S268" s="39"/>
      <c r="T268" s="41" t="s">
        <v>1261</v>
      </c>
      <c r="U268" s="40" t="s">
        <v>1262</v>
      </c>
      <c r="V268" s="41"/>
      <c r="W268" s="40"/>
      <c r="X268" s="42" t="s">
        <v>1203</v>
      </c>
      <c r="Y268" s="42" t="s">
        <v>267</v>
      </c>
      <c r="Z268" s="43"/>
      <c r="AA268" s="44" t="s">
        <v>1204</v>
      </c>
      <c r="AB268" s="38" t="str">
        <f t="shared" si="4"/>
        <v>9N74100000</v>
      </c>
    </row>
    <row r="269" spans="4:28" ht="33" customHeight="1">
      <c r="D269" s="39" t="s">
        <v>1082</v>
      </c>
      <c r="E269" s="39" t="s">
        <v>1082</v>
      </c>
      <c r="F269" s="39">
        <v>500</v>
      </c>
      <c r="G269" s="39" t="s">
        <v>1198</v>
      </c>
      <c r="H269" s="39">
        <v>2440</v>
      </c>
      <c r="I269" s="39" t="s">
        <v>1263</v>
      </c>
      <c r="J269" s="40" t="s">
        <v>1264</v>
      </c>
      <c r="K269" s="39" t="s">
        <v>307</v>
      </c>
      <c r="L269" s="39" t="s">
        <v>308</v>
      </c>
      <c r="M269" s="39">
        <v>1</v>
      </c>
      <c r="N269" s="39" t="s">
        <v>309</v>
      </c>
      <c r="O269" s="39"/>
      <c r="P269" s="39"/>
      <c r="Q269" s="39"/>
      <c r="R269" s="41"/>
      <c r="S269" s="39"/>
      <c r="T269" s="41" t="s">
        <v>1265</v>
      </c>
      <c r="U269" s="40" t="s">
        <v>1266</v>
      </c>
      <c r="V269" s="41"/>
      <c r="W269" s="40"/>
      <c r="X269" s="42" t="s">
        <v>1203</v>
      </c>
      <c r="Y269" s="42" t="s">
        <v>267</v>
      </c>
      <c r="Z269" s="43"/>
      <c r="AA269" s="44" t="s">
        <v>1204</v>
      </c>
      <c r="AB269" s="38" t="str">
        <f t="shared" si="4"/>
        <v>9N74600000</v>
      </c>
    </row>
    <row r="270" spans="4:28" ht="33" customHeight="1">
      <c r="D270" s="39" t="s">
        <v>1082</v>
      </c>
      <c r="E270" s="39" t="s">
        <v>1082</v>
      </c>
      <c r="F270" s="39">
        <v>500</v>
      </c>
      <c r="G270" s="39" t="s">
        <v>1198</v>
      </c>
      <c r="H270" s="39">
        <v>2450</v>
      </c>
      <c r="I270" s="39" t="s">
        <v>1267</v>
      </c>
      <c r="J270" s="40" t="s">
        <v>1268</v>
      </c>
      <c r="K270" s="39" t="s">
        <v>307</v>
      </c>
      <c r="L270" s="39" t="s">
        <v>308</v>
      </c>
      <c r="M270" s="39">
        <v>1</v>
      </c>
      <c r="N270" s="39" t="s">
        <v>309</v>
      </c>
      <c r="O270" s="39"/>
      <c r="P270" s="39"/>
      <c r="Q270" s="39"/>
      <c r="R270" s="41"/>
      <c r="S270" s="39"/>
      <c r="T270" s="41" t="s">
        <v>1269</v>
      </c>
      <c r="U270" s="40" t="s">
        <v>1268</v>
      </c>
      <c r="V270" s="41"/>
      <c r="W270" s="40"/>
      <c r="X270" s="42" t="s">
        <v>1203</v>
      </c>
      <c r="Y270" s="42" t="s">
        <v>267</v>
      </c>
      <c r="Z270" s="43"/>
      <c r="AA270" s="44" t="s">
        <v>1204</v>
      </c>
      <c r="AB270" s="38" t="str">
        <f t="shared" si="4"/>
        <v>9N75100000</v>
      </c>
    </row>
    <row r="271" spans="4:28" ht="33" customHeight="1">
      <c r="D271" s="39" t="s">
        <v>1082</v>
      </c>
      <c r="E271" s="39" t="s">
        <v>1082</v>
      </c>
      <c r="F271" s="39">
        <v>500</v>
      </c>
      <c r="G271" s="39" t="s">
        <v>1198</v>
      </c>
      <c r="H271" s="39">
        <v>2460</v>
      </c>
      <c r="I271" s="39" t="s">
        <v>1270</v>
      </c>
      <c r="J271" s="40" t="s">
        <v>1271</v>
      </c>
      <c r="K271" s="39" t="s">
        <v>307</v>
      </c>
      <c r="L271" s="39" t="s">
        <v>308</v>
      </c>
      <c r="M271" s="39">
        <v>1</v>
      </c>
      <c r="N271" s="39" t="s">
        <v>309</v>
      </c>
      <c r="O271" s="39"/>
      <c r="P271" s="39"/>
      <c r="Q271" s="39"/>
      <c r="R271" s="41"/>
      <c r="S271" s="39"/>
      <c r="T271" s="41" t="s">
        <v>1272</v>
      </c>
      <c r="U271" s="40" t="s">
        <v>1271</v>
      </c>
      <c r="V271" s="41"/>
      <c r="W271" s="40"/>
      <c r="X271" s="42" t="s">
        <v>1203</v>
      </c>
      <c r="Y271" s="42" t="s">
        <v>267</v>
      </c>
      <c r="Z271" s="43"/>
      <c r="AA271" s="44" t="s">
        <v>1204</v>
      </c>
      <c r="AB271" s="38" t="str">
        <f t="shared" si="4"/>
        <v>9N75600000</v>
      </c>
    </row>
    <row r="272" spans="4:28" ht="33" customHeight="1">
      <c r="D272" s="39" t="s">
        <v>1082</v>
      </c>
      <c r="E272" s="39" t="s">
        <v>1082</v>
      </c>
      <c r="F272" s="39">
        <v>500</v>
      </c>
      <c r="G272" s="39" t="s">
        <v>1198</v>
      </c>
      <c r="H272" s="39">
        <v>2471</v>
      </c>
      <c r="I272" s="39" t="s">
        <v>1273</v>
      </c>
      <c r="J272" s="40" t="s">
        <v>1274</v>
      </c>
      <c r="K272" s="39" t="s">
        <v>307</v>
      </c>
      <c r="L272" s="39" t="s">
        <v>308</v>
      </c>
      <c r="M272" s="39">
        <v>1</v>
      </c>
      <c r="N272" s="39" t="s">
        <v>309</v>
      </c>
      <c r="O272" s="39"/>
      <c r="P272" s="39"/>
      <c r="Q272" s="39"/>
      <c r="R272" s="41"/>
      <c r="S272" s="39"/>
      <c r="T272" s="41" t="s">
        <v>1275</v>
      </c>
      <c r="U272" s="40" t="s">
        <v>1274</v>
      </c>
      <c r="V272" s="41"/>
      <c r="W272" s="40"/>
      <c r="X272" s="42" t="s">
        <v>1276</v>
      </c>
      <c r="Y272" s="42" t="s">
        <v>267</v>
      </c>
      <c r="Z272" s="43" t="s">
        <v>444</v>
      </c>
      <c r="AA272" s="44" t="s">
        <v>1277</v>
      </c>
      <c r="AB272" s="38" t="str">
        <f t="shared" si="4"/>
        <v>9N87200000</v>
      </c>
    </row>
    <row r="273" spans="4:28" ht="33" customHeight="1">
      <c r="D273" s="39" t="s">
        <v>1082</v>
      </c>
      <c r="E273" s="39" t="s">
        <v>1082</v>
      </c>
      <c r="F273" s="39">
        <v>500</v>
      </c>
      <c r="G273" s="39" t="s">
        <v>1198</v>
      </c>
      <c r="H273" s="39">
        <v>2480</v>
      </c>
      <c r="I273" s="39" t="s">
        <v>1278</v>
      </c>
      <c r="J273" s="40" t="s">
        <v>1279</v>
      </c>
      <c r="K273" s="39" t="s">
        <v>307</v>
      </c>
      <c r="L273" s="39" t="s">
        <v>308</v>
      </c>
      <c r="M273" s="39">
        <v>1</v>
      </c>
      <c r="N273" s="39" t="s">
        <v>309</v>
      </c>
      <c r="O273" s="39"/>
      <c r="P273" s="39"/>
      <c r="Q273" s="39"/>
      <c r="R273" s="41"/>
      <c r="S273" s="39"/>
      <c r="T273" s="41" t="s">
        <v>1280</v>
      </c>
      <c r="U273" s="40" t="s">
        <v>1281</v>
      </c>
      <c r="V273" s="41"/>
      <c r="W273" s="40"/>
      <c r="X273" s="42" t="s">
        <v>1282</v>
      </c>
      <c r="Y273" s="42" t="s">
        <v>267</v>
      </c>
      <c r="Z273" s="43"/>
      <c r="AA273" s="44" t="s">
        <v>1283</v>
      </c>
      <c r="AB273" s="38" t="str">
        <f t="shared" si="4"/>
        <v>9N76600000</v>
      </c>
    </row>
    <row r="274" spans="4:28" ht="33" customHeight="1">
      <c r="D274" s="39" t="s">
        <v>1082</v>
      </c>
      <c r="E274" s="39" t="s">
        <v>1082</v>
      </c>
      <c r="F274" s="39">
        <v>500</v>
      </c>
      <c r="G274" s="39" t="s">
        <v>1198</v>
      </c>
      <c r="H274" s="39">
        <v>2490</v>
      </c>
      <c r="I274" s="39" t="s">
        <v>1284</v>
      </c>
      <c r="J274" s="40" t="s">
        <v>1285</v>
      </c>
      <c r="K274" s="39" t="s">
        <v>307</v>
      </c>
      <c r="L274" s="39" t="s">
        <v>308</v>
      </c>
      <c r="M274" s="39">
        <v>1</v>
      </c>
      <c r="N274" s="39" t="s">
        <v>309</v>
      </c>
      <c r="O274" s="39"/>
      <c r="P274" s="39"/>
      <c r="Q274" s="39"/>
      <c r="R274" s="41"/>
      <c r="S274" s="39"/>
      <c r="T274" s="41" t="s">
        <v>1286</v>
      </c>
      <c r="U274" s="40" t="s">
        <v>1287</v>
      </c>
      <c r="V274" s="41"/>
      <c r="W274" s="40"/>
      <c r="X274" s="42" t="s">
        <v>1203</v>
      </c>
      <c r="Y274" s="42" t="s">
        <v>267</v>
      </c>
      <c r="Z274" s="43"/>
      <c r="AA274" s="44" t="s">
        <v>1204</v>
      </c>
      <c r="AB274" s="38" t="str">
        <f t="shared" si="4"/>
        <v>9N77100000</v>
      </c>
    </row>
    <row r="275" spans="4:28" ht="33" customHeight="1">
      <c r="D275" s="39" t="s">
        <v>1082</v>
      </c>
      <c r="E275" s="39" t="s">
        <v>1082</v>
      </c>
      <c r="F275" s="39">
        <v>500</v>
      </c>
      <c r="G275" s="39" t="s">
        <v>1198</v>
      </c>
      <c r="H275" s="39">
        <v>2501</v>
      </c>
      <c r="I275" s="39" t="s">
        <v>1288</v>
      </c>
      <c r="J275" s="40" t="s">
        <v>1289</v>
      </c>
      <c r="K275" s="39" t="s">
        <v>307</v>
      </c>
      <c r="L275" s="39" t="s">
        <v>308</v>
      </c>
      <c r="M275" s="39">
        <v>1</v>
      </c>
      <c r="N275" s="39" t="s">
        <v>309</v>
      </c>
      <c r="O275" s="39"/>
      <c r="P275" s="39"/>
      <c r="Q275" s="39"/>
      <c r="R275" s="41"/>
      <c r="S275" s="39"/>
      <c r="T275" s="41" t="s">
        <v>1290</v>
      </c>
      <c r="U275" s="40" t="s">
        <v>1291</v>
      </c>
      <c r="V275" s="41"/>
      <c r="W275" s="40"/>
      <c r="X275" s="42" t="s">
        <v>1292</v>
      </c>
      <c r="Y275" s="42" t="s">
        <v>267</v>
      </c>
      <c r="Z275" s="43" t="s">
        <v>444</v>
      </c>
      <c r="AA275" s="44" t="s">
        <v>1293</v>
      </c>
      <c r="AB275" s="38" t="str">
        <f t="shared" si="4"/>
        <v>9N78200000</v>
      </c>
    </row>
    <row r="276" spans="4:28" ht="33" customHeight="1">
      <c r="D276" s="39" t="s">
        <v>1082</v>
      </c>
      <c r="E276" s="39" t="s">
        <v>1082</v>
      </c>
      <c r="F276" s="39">
        <v>500</v>
      </c>
      <c r="G276" s="39" t="s">
        <v>1198</v>
      </c>
      <c r="H276" s="39">
        <v>2510</v>
      </c>
      <c r="I276" s="39" t="s">
        <v>1294</v>
      </c>
      <c r="J276" s="40" t="s">
        <v>1295</v>
      </c>
      <c r="K276" s="39" t="s">
        <v>307</v>
      </c>
      <c r="L276" s="39" t="s">
        <v>308</v>
      </c>
      <c r="M276" s="39">
        <v>1</v>
      </c>
      <c r="N276" s="39" t="s">
        <v>309</v>
      </c>
      <c r="O276" s="39"/>
      <c r="P276" s="39"/>
      <c r="Q276" s="39"/>
      <c r="R276" s="41"/>
      <c r="S276" s="39"/>
      <c r="T276" s="41" t="s">
        <v>1296</v>
      </c>
      <c r="U276" s="40" t="s">
        <v>1295</v>
      </c>
      <c r="V276" s="41"/>
      <c r="W276" s="40"/>
      <c r="X276" s="42" t="s">
        <v>1203</v>
      </c>
      <c r="Y276" s="42" t="s">
        <v>267</v>
      </c>
      <c r="Z276" s="43"/>
      <c r="AA276" s="44" t="s">
        <v>1204</v>
      </c>
      <c r="AB276" s="38" t="str">
        <f t="shared" si="4"/>
        <v>9N78100000</v>
      </c>
    </row>
    <row r="277" spans="4:28" ht="75" customHeight="1">
      <c r="D277" s="39" t="s">
        <v>1082</v>
      </c>
      <c r="E277" s="39" t="s">
        <v>1082</v>
      </c>
      <c r="F277" s="39">
        <v>500</v>
      </c>
      <c r="G277" s="39" t="s">
        <v>1198</v>
      </c>
      <c r="H277" s="39">
        <v>2520</v>
      </c>
      <c r="I277" s="39" t="s">
        <v>1297</v>
      </c>
      <c r="J277" s="40" t="s">
        <v>1298</v>
      </c>
      <c r="K277" s="39" t="s">
        <v>307</v>
      </c>
      <c r="L277" s="39" t="s">
        <v>308</v>
      </c>
      <c r="M277" s="39">
        <v>1</v>
      </c>
      <c r="N277" s="39" t="s">
        <v>309</v>
      </c>
      <c r="O277" s="39"/>
      <c r="P277" s="39"/>
      <c r="Q277" s="39"/>
      <c r="R277" s="41"/>
      <c r="S277" s="39"/>
      <c r="T277" s="41" t="s">
        <v>1299</v>
      </c>
      <c r="U277" s="40" t="s">
        <v>1298</v>
      </c>
      <c r="V277" s="41"/>
      <c r="W277" s="40"/>
      <c r="X277" s="48" t="s">
        <v>1300</v>
      </c>
      <c r="Y277" s="42" t="s">
        <v>267</v>
      </c>
      <c r="Z277" s="43"/>
      <c r="AA277" s="44" t="s">
        <v>1301</v>
      </c>
      <c r="AB277" s="38" t="str">
        <f t="shared" si="4"/>
        <v>9N78600000</v>
      </c>
    </row>
    <row r="278" spans="4:28" ht="56.25" customHeight="1">
      <c r="D278" s="39" t="s">
        <v>1082</v>
      </c>
      <c r="E278" s="39" t="s">
        <v>1082</v>
      </c>
      <c r="F278" s="39">
        <v>500</v>
      </c>
      <c r="G278" s="39" t="s">
        <v>1198</v>
      </c>
      <c r="H278" s="39">
        <v>2530</v>
      </c>
      <c r="I278" s="39" t="s">
        <v>1302</v>
      </c>
      <c r="J278" s="40" t="s">
        <v>1303</v>
      </c>
      <c r="K278" s="39" t="s">
        <v>307</v>
      </c>
      <c r="L278" s="39" t="s">
        <v>602</v>
      </c>
      <c r="M278" s="39">
        <v>1</v>
      </c>
      <c r="N278" s="39" t="s">
        <v>309</v>
      </c>
      <c r="O278" s="39"/>
      <c r="P278" s="39"/>
      <c r="Q278" s="39"/>
      <c r="R278" s="41"/>
      <c r="S278" s="39"/>
      <c r="T278" s="41" t="s">
        <v>1304</v>
      </c>
      <c r="U278" s="40" t="s">
        <v>1303</v>
      </c>
      <c r="V278" s="41"/>
      <c r="W278" s="40"/>
      <c r="X278" s="48" t="s">
        <v>1305</v>
      </c>
      <c r="Y278" s="42" t="s">
        <v>267</v>
      </c>
      <c r="Z278" s="43"/>
      <c r="AA278" s="44" t="s">
        <v>1306</v>
      </c>
      <c r="AB278" s="38" t="str">
        <f t="shared" si="4"/>
        <v>9N79100000</v>
      </c>
    </row>
    <row r="279" spans="4:28" ht="33" customHeight="1">
      <c r="D279" s="39" t="s">
        <v>1082</v>
      </c>
      <c r="E279" s="39" t="s">
        <v>1082</v>
      </c>
      <c r="F279" s="39">
        <v>500</v>
      </c>
      <c r="G279" s="39" t="s">
        <v>1198</v>
      </c>
      <c r="H279" s="39">
        <v>2540</v>
      </c>
      <c r="I279" s="39" t="s">
        <v>1307</v>
      </c>
      <c r="J279" s="40" t="s">
        <v>1308</v>
      </c>
      <c r="K279" s="39" t="s">
        <v>307</v>
      </c>
      <c r="L279" s="39" t="s">
        <v>308</v>
      </c>
      <c r="M279" s="39">
        <v>1</v>
      </c>
      <c r="N279" s="39" t="s">
        <v>309</v>
      </c>
      <c r="O279" s="39"/>
      <c r="P279" s="39"/>
      <c r="Q279" s="39"/>
      <c r="R279" s="41"/>
      <c r="S279" s="39"/>
      <c r="T279" s="41" t="s">
        <v>1309</v>
      </c>
      <c r="U279" s="40" t="s">
        <v>1308</v>
      </c>
      <c r="V279" s="41"/>
      <c r="W279" s="40"/>
      <c r="X279" s="42" t="s">
        <v>1203</v>
      </c>
      <c r="Y279" s="42" t="s">
        <v>267</v>
      </c>
      <c r="Z279" s="43"/>
      <c r="AA279" s="44" t="s">
        <v>1204</v>
      </c>
      <c r="AB279" s="38" t="str">
        <f t="shared" si="4"/>
        <v>9N79600000</v>
      </c>
    </row>
    <row r="280" spans="4:28" ht="77.25" customHeight="1">
      <c r="D280" s="39" t="s">
        <v>1082</v>
      </c>
      <c r="E280" s="39" t="s">
        <v>1082</v>
      </c>
      <c r="F280" s="39">
        <v>500</v>
      </c>
      <c r="G280" s="39" t="s">
        <v>1198</v>
      </c>
      <c r="H280" s="39">
        <v>2550</v>
      </c>
      <c r="I280" s="39" t="s">
        <v>1310</v>
      </c>
      <c r="J280" s="40" t="s">
        <v>1311</v>
      </c>
      <c r="K280" s="39" t="s">
        <v>307</v>
      </c>
      <c r="L280" s="39" t="s">
        <v>308</v>
      </c>
      <c r="M280" s="39">
        <v>1</v>
      </c>
      <c r="N280" s="39" t="s">
        <v>309</v>
      </c>
      <c r="O280" s="39"/>
      <c r="P280" s="39"/>
      <c r="Q280" s="39"/>
      <c r="R280" s="41"/>
      <c r="S280" s="39"/>
      <c r="T280" s="41" t="s">
        <v>1312</v>
      </c>
      <c r="U280" s="40" t="s">
        <v>1311</v>
      </c>
      <c r="V280" s="41"/>
      <c r="W280" s="40"/>
      <c r="X280" s="42" t="s">
        <v>1313</v>
      </c>
      <c r="Y280" s="42" t="s">
        <v>267</v>
      </c>
      <c r="Z280" s="43"/>
      <c r="AA280" s="44" t="s">
        <v>1314</v>
      </c>
      <c r="AB280" s="38" t="str">
        <f t="shared" si="4"/>
        <v>9N80100000</v>
      </c>
    </row>
    <row r="281" spans="4:28" ht="33" customHeight="1">
      <c r="D281" s="39" t="s">
        <v>1082</v>
      </c>
      <c r="E281" s="39" t="s">
        <v>1082</v>
      </c>
      <c r="F281" s="39">
        <v>500</v>
      </c>
      <c r="G281" s="39" t="s">
        <v>1198</v>
      </c>
      <c r="H281" s="39">
        <v>2560</v>
      </c>
      <c r="I281" s="39" t="s">
        <v>1315</v>
      </c>
      <c r="J281" s="40" t="s">
        <v>1316</v>
      </c>
      <c r="K281" s="39" t="s">
        <v>307</v>
      </c>
      <c r="L281" s="39" t="s">
        <v>308</v>
      </c>
      <c r="M281" s="39">
        <v>1</v>
      </c>
      <c r="N281" s="39" t="s">
        <v>309</v>
      </c>
      <c r="O281" s="39"/>
      <c r="P281" s="39"/>
      <c r="Q281" s="39"/>
      <c r="R281" s="41"/>
      <c r="S281" s="39"/>
      <c r="T281" s="41" t="s">
        <v>1317</v>
      </c>
      <c r="U281" s="40" t="s">
        <v>1318</v>
      </c>
      <c r="V281" s="41"/>
      <c r="W281" s="40"/>
      <c r="X281" s="42" t="s">
        <v>1203</v>
      </c>
      <c r="Y281" s="42" t="s">
        <v>267</v>
      </c>
      <c r="Z281" s="43" t="s">
        <v>417</v>
      </c>
      <c r="AA281" s="44" t="s">
        <v>1204</v>
      </c>
      <c r="AB281" s="38" t="str">
        <f t="shared" si="4"/>
        <v>9N80800000</v>
      </c>
    </row>
    <row r="282" spans="4:28" ht="33" customHeight="1">
      <c r="D282" s="39"/>
      <c r="E282" s="45"/>
      <c r="F282" s="39">
        <v>600</v>
      </c>
      <c r="G282" s="39" t="s">
        <v>1319</v>
      </c>
      <c r="H282" s="39">
        <v>2570</v>
      </c>
      <c r="I282" s="39" t="s">
        <v>1320</v>
      </c>
      <c r="J282" s="40" t="s">
        <v>1321</v>
      </c>
      <c r="K282" s="39" t="s">
        <v>307</v>
      </c>
      <c r="L282" s="39" t="s">
        <v>308</v>
      </c>
      <c r="M282" s="39">
        <v>1</v>
      </c>
      <c r="N282" s="39" t="s">
        <v>309</v>
      </c>
      <c r="O282" s="39"/>
      <c r="P282" s="39"/>
      <c r="Q282" s="39"/>
      <c r="R282" s="41"/>
      <c r="S282" s="39"/>
      <c r="T282" s="41" t="s">
        <v>1322</v>
      </c>
      <c r="U282" s="40" t="s">
        <v>1321</v>
      </c>
      <c r="V282" s="41"/>
      <c r="W282" s="40"/>
      <c r="X282" s="42" t="s">
        <v>1323</v>
      </c>
      <c r="Y282" s="42" t="s">
        <v>267</v>
      </c>
      <c r="Z282" s="43"/>
      <c r="AA282" s="44" t="s">
        <v>1324</v>
      </c>
      <c r="AB282" s="38" t="str">
        <f t="shared" si="4"/>
        <v>9N81100000</v>
      </c>
    </row>
    <row r="283" spans="4:28" ht="33" customHeight="1">
      <c r="D283" s="39"/>
      <c r="E283" s="45"/>
      <c r="F283" s="39">
        <v>600</v>
      </c>
      <c r="G283" s="39" t="s">
        <v>1319</v>
      </c>
      <c r="H283" s="39">
        <v>2580</v>
      </c>
      <c r="I283" s="39" t="s">
        <v>1325</v>
      </c>
      <c r="J283" s="40" t="s">
        <v>1326</v>
      </c>
      <c r="K283" s="39" t="s">
        <v>307</v>
      </c>
      <c r="L283" s="39" t="s">
        <v>308</v>
      </c>
      <c r="M283" s="39">
        <v>1</v>
      </c>
      <c r="N283" s="39" t="s">
        <v>309</v>
      </c>
      <c r="O283" s="39"/>
      <c r="P283" s="39"/>
      <c r="Q283" s="39"/>
      <c r="R283" s="41"/>
      <c r="S283" s="39"/>
      <c r="T283" s="41" t="s">
        <v>1327</v>
      </c>
      <c r="U283" s="40" t="s">
        <v>1326</v>
      </c>
      <c r="V283" s="41"/>
      <c r="W283" s="40"/>
      <c r="X283" s="42" t="s">
        <v>1323</v>
      </c>
      <c r="Y283" s="42" t="s">
        <v>267</v>
      </c>
      <c r="Z283" s="43"/>
      <c r="AA283" s="44" t="s">
        <v>1324</v>
      </c>
      <c r="AB283" s="38" t="str">
        <f t="shared" si="4"/>
        <v>9N81600000</v>
      </c>
    </row>
    <row r="284" spans="4:28" ht="33" customHeight="1">
      <c r="D284" s="39"/>
      <c r="E284" s="45"/>
      <c r="F284" s="39">
        <v>600</v>
      </c>
      <c r="G284" s="39" t="s">
        <v>1319</v>
      </c>
      <c r="H284" s="39">
        <v>2590</v>
      </c>
      <c r="I284" s="39" t="s">
        <v>1328</v>
      </c>
      <c r="J284" s="40" t="s">
        <v>1329</v>
      </c>
      <c r="K284" s="39" t="s">
        <v>307</v>
      </c>
      <c r="L284" s="39" t="s">
        <v>308</v>
      </c>
      <c r="M284" s="39">
        <v>1</v>
      </c>
      <c r="N284" s="39" t="s">
        <v>309</v>
      </c>
      <c r="O284" s="39"/>
      <c r="P284" s="39"/>
      <c r="Q284" s="39"/>
      <c r="R284" s="41"/>
      <c r="S284" s="39"/>
      <c r="T284" s="41" t="s">
        <v>1330</v>
      </c>
      <c r="U284" s="40" t="s">
        <v>1329</v>
      </c>
      <c r="V284" s="41"/>
      <c r="W284" s="40"/>
      <c r="X284" s="42" t="s">
        <v>1323</v>
      </c>
      <c r="Y284" s="42" t="s">
        <v>267</v>
      </c>
      <c r="Z284" s="43"/>
      <c r="AA284" s="44" t="s">
        <v>1324</v>
      </c>
      <c r="AB284" s="38" t="str">
        <f t="shared" si="4"/>
        <v>9N82100000</v>
      </c>
    </row>
    <row r="285" spans="4:28" ht="33" customHeight="1">
      <c r="D285" s="39"/>
      <c r="E285" s="45"/>
      <c r="F285" s="39">
        <v>600</v>
      </c>
      <c r="G285" s="39" t="s">
        <v>1319</v>
      </c>
      <c r="H285" s="39">
        <v>2600</v>
      </c>
      <c r="I285" s="39" t="s">
        <v>1331</v>
      </c>
      <c r="J285" s="40" t="s">
        <v>1332</v>
      </c>
      <c r="K285" s="39" t="s">
        <v>307</v>
      </c>
      <c r="L285" s="39" t="s">
        <v>308</v>
      </c>
      <c r="M285" s="39">
        <v>1</v>
      </c>
      <c r="N285" s="39" t="s">
        <v>309</v>
      </c>
      <c r="O285" s="39"/>
      <c r="P285" s="39"/>
      <c r="Q285" s="39"/>
      <c r="R285" s="41"/>
      <c r="S285" s="39"/>
      <c r="T285" s="41" t="s">
        <v>1333</v>
      </c>
      <c r="U285" s="40" t="s">
        <v>1332</v>
      </c>
      <c r="V285" s="41"/>
      <c r="W285" s="40"/>
      <c r="X285" s="42" t="s">
        <v>1323</v>
      </c>
      <c r="Y285" s="42" t="s">
        <v>267</v>
      </c>
      <c r="Z285" s="43"/>
      <c r="AA285" s="44" t="s">
        <v>1324</v>
      </c>
      <c r="AB285" s="38" t="str">
        <f t="shared" si="4"/>
        <v>9N82600000</v>
      </c>
    </row>
    <row r="286" spans="4:28" ht="33" customHeight="1">
      <c r="D286" s="39"/>
      <c r="E286" s="45"/>
      <c r="F286" s="39">
        <v>600</v>
      </c>
      <c r="G286" s="39" t="s">
        <v>1319</v>
      </c>
      <c r="H286" s="39">
        <v>2610</v>
      </c>
      <c r="I286" s="39" t="s">
        <v>1334</v>
      </c>
      <c r="J286" s="40" t="s">
        <v>1335</v>
      </c>
      <c r="K286" s="39" t="s">
        <v>307</v>
      </c>
      <c r="L286" s="39" t="s">
        <v>308</v>
      </c>
      <c r="M286" s="39">
        <v>1</v>
      </c>
      <c r="N286" s="39" t="s">
        <v>309</v>
      </c>
      <c r="O286" s="39"/>
      <c r="P286" s="39"/>
      <c r="Q286" s="39"/>
      <c r="R286" s="41"/>
      <c r="S286" s="39"/>
      <c r="T286" s="41" t="s">
        <v>1336</v>
      </c>
      <c r="U286" s="40" t="s">
        <v>1335</v>
      </c>
      <c r="V286" s="41"/>
      <c r="W286" s="40"/>
      <c r="X286" s="42" t="s">
        <v>1323</v>
      </c>
      <c r="Y286" s="42" t="s">
        <v>267</v>
      </c>
      <c r="Z286" s="43"/>
      <c r="AA286" s="44" t="s">
        <v>1324</v>
      </c>
      <c r="AB286" s="38" t="str">
        <f t="shared" si="4"/>
        <v>9N83100000</v>
      </c>
    </row>
    <row r="287" spans="4:28" ht="33" customHeight="1">
      <c r="D287" s="39"/>
      <c r="E287" s="45"/>
      <c r="F287" s="39">
        <v>600</v>
      </c>
      <c r="G287" s="39" t="s">
        <v>1319</v>
      </c>
      <c r="H287" s="39">
        <v>2620</v>
      </c>
      <c r="I287" s="39" t="s">
        <v>1337</v>
      </c>
      <c r="J287" s="40" t="s">
        <v>1338</v>
      </c>
      <c r="K287" s="39" t="s">
        <v>307</v>
      </c>
      <c r="L287" s="39" t="s">
        <v>308</v>
      </c>
      <c r="M287" s="39">
        <v>1</v>
      </c>
      <c r="N287" s="39" t="s">
        <v>309</v>
      </c>
      <c r="O287" s="39"/>
      <c r="P287" s="39"/>
      <c r="Q287" s="39"/>
      <c r="R287" s="41"/>
      <c r="S287" s="39"/>
      <c r="T287" s="41" t="s">
        <v>1339</v>
      </c>
      <c r="U287" s="40" t="s">
        <v>1338</v>
      </c>
      <c r="V287" s="41"/>
      <c r="W287" s="40"/>
      <c r="X287" s="42" t="s">
        <v>1323</v>
      </c>
      <c r="Y287" s="42" t="s">
        <v>267</v>
      </c>
      <c r="Z287" s="43"/>
      <c r="AA287" s="44" t="s">
        <v>1324</v>
      </c>
      <c r="AB287" s="38" t="str">
        <f t="shared" si="4"/>
        <v>9N83600000</v>
      </c>
    </row>
    <row r="288" spans="4:28" ht="33" customHeight="1">
      <c r="D288" s="39"/>
      <c r="E288" s="45"/>
      <c r="F288" s="39">
        <v>600</v>
      </c>
      <c r="G288" s="39" t="s">
        <v>1319</v>
      </c>
      <c r="H288" s="39">
        <v>2630</v>
      </c>
      <c r="I288" s="39" t="s">
        <v>1340</v>
      </c>
      <c r="J288" s="40" t="s">
        <v>1341</v>
      </c>
      <c r="K288" s="39" t="s">
        <v>307</v>
      </c>
      <c r="L288" s="39" t="s">
        <v>308</v>
      </c>
      <c r="M288" s="39">
        <v>1</v>
      </c>
      <c r="N288" s="39" t="s">
        <v>309</v>
      </c>
      <c r="O288" s="39"/>
      <c r="P288" s="39"/>
      <c r="Q288" s="39"/>
      <c r="R288" s="41"/>
      <c r="S288" s="39"/>
      <c r="T288" s="41" t="s">
        <v>1342</v>
      </c>
      <c r="U288" s="40" t="s">
        <v>1341</v>
      </c>
      <c r="V288" s="41"/>
      <c r="W288" s="40"/>
      <c r="X288" s="42" t="s">
        <v>1323</v>
      </c>
      <c r="Y288" s="42" t="s">
        <v>267</v>
      </c>
      <c r="Z288" s="43"/>
      <c r="AA288" s="44" t="s">
        <v>1324</v>
      </c>
      <c r="AB288" s="38" t="str">
        <f t="shared" si="4"/>
        <v>9N84100000</v>
      </c>
    </row>
    <row r="289" spans="4:28" ht="33" customHeight="1">
      <c r="D289" s="39"/>
      <c r="E289" s="45"/>
      <c r="F289" s="39">
        <v>600</v>
      </c>
      <c r="G289" s="39" t="s">
        <v>1319</v>
      </c>
      <c r="H289" s="39">
        <v>2640</v>
      </c>
      <c r="I289" s="39" t="s">
        <v>1343</v>
      </c>
      <c r="J289" s="40" t="s">
        <v>1344</v>
      </c>
      <c r="K289" s="39" t="s">
        <v>307</v>
      </c>
      <c r="L289" s="39" t="s">
        <v>308</v>
      </c>
      <c r="M289" s="39">
        <v>1</v>
      </c>
      <c r="N289" s="39" t="s">
        <v>309</v>
      </c>
      <c r="O289" s="39"/>
      <c r="P289" s="39"/>
      <c r="Q289" s="39"/>
      <c r="R289" s="41"/>
      <c r="S289" s="39"/>
      <c r="T289" s="41" t="s">
        <v>1345</v>
      </c>
      <c r="U289" s="40" t="s">
        <v>1344</v>
      </c>
      <c r="V289" s="41"/>
      <c r="W289" s="40"/>
      <c r="X289" s="42" t="s">
        <v>1323</v>
      </c>
      <c r="Y289" s="42" t="s">
        <v>267</v>
      </c>
      <c r="Z289" s="43"/>
      <c r="AA289" s="44" t="s">
        <v>1324</v>
      </c>
      <c r="AB289" s="38" t="str">
        <f t="shared" si="4"/>
        <v>9N84600000</v>
      </c>
    </row>
    <row r="290" spans="4:28" ht="33" customHeight="1">
      <c r="D290" s="39"/>
      <c r="E290" s="45"/>
      <c r="F290" s="39">
        <v>600</v>
      </c>
      <c r="G290" s="39" t="s">
        <v>1319</v>
      </c>
      <c r="H290" s="39">
        <v>2650</v>
      </c>
      <c r="I290" s="39" t="s">
        <v>1346</v>
      </c>
      <c r="J290" s="40" t="s">
        <v>1347</v>
      </c>
      <c r="K290" s="39" t="s">
        <v>307</v>
      </c>
      <c r="L290" s="39" t="s">
        <v>308</v>
      </c>
      <c r="M290" s="39">
        <v>1</v>
      </c>
      <c r="N290" s="39" t="s">
        <v>309</v>
      </c>
      <c r="O290" s="39"/>
      <c r="P290" s="39"/>
      <c r="Q290" s="39"/>
      <c r="R290" s="41"/>
      <c r="S290" s="39"/>
      <c r="T290" s="41" t="s">
        <v>1348</v>
      </c>
      <c r="U290" s="40" t="s">
        <v>1347</v>
      </c>
      <c r="V290" s="41"/>
      <c r="W290" s="40"/>
      <c r="X290" s="42" t="s">
        <v>1349</v>
      </c>
      <c r="Y290" s="42" t="s">
        <v>267</v>
      </c>
      <c r="Z290" s="43"/>
      <c r="AA290" s="44" t="s">
        <v>1350</v>
      </c>
      <c r="AB290" s="38" t="str">
        <f t="shared" si="4"/>
        <v>9N85100000</v>
      </c>
    </row>
    <row r="291" spans="4:28" ht="33" customHeight="1">
      <c r="D291" s="39"/>
      <c r="E291" s="45"/>
      <c r="F291" s="39">
        <v>600</v>
      </c>
      <c r="G291" s="39" t="s">
        <v>1319</v>
      </c>
      <c r="H291" s="39">
        <v>2660</v>
      </c>
      <c r="I291" s="39" t="s">
        <v>1351</v>
      </c>
      <c r="J291" s="40" t="s">
        <v>1352</v>
      </c>
      <c r="K291" s="39" t="s">
        <v>307</v>
      </c>
      <c r="L291" s="39" t="s">
        <v>308</v>
      </c>
      <c r="M291" s="39">
        <v>1</v>
      </c>
      <c r="N291" s="39" t="s">
        <v>309</v>
      </c>
      <c r="O291" s="39"/>
      <c r="P291" s="39"/>
      <c r="Q291" s="39"/>
      <c r="R291" s="41"/>
      <c r="S291" s="39"/>
      <c r="T291" s="41" t="s">
        <v>1353</v>
      </c>
      <c r="U291" s="40" t="s">
        <v>1352</v>
      </c>
      <c r="V291" s="41"/>
      <c r="W291" s="40"/>
      <c r="X291" s="42" t="s">
        <v>1349</v>
      </c>
      <c r="Y291" s="42" t="s">
        <v>267</v>
      </c>
      <c r="Z291" s="43"/>
      <c r="AA291" s="44" t="s">
        <v>1350</v>
      </c>
      <c r="AB291" s="38" t="str">
        <f t="shared" si="4"/>
        <v>9N85600000</v>
      </c>
    </row>
    <row r="292" spans="4:28" ht="33" customHeight="1">
      <c r="D292" s="39"/>
      <c r="E292" s="45"/>
      <c r="F292" s="39">
        <v>600</v>
      </c>
      <c r="G292" s="39" t="s">
        <v>1319</v>
      </c>
      <c r="H292" s="39">
        <v>2670</v>
      </c>
      <c r="I292" s="39" t="s">
        <v>1354</v>
      </c>
      <c r="J292" s="40" t="s">
        <v>1355</v>
      </c>
      <c r="K292" s="39" t="s">
        <v>307</v>
      </c>
      <c r="L292" s="39" t="s">
        <v>308</v>
      </c>
      <c r="M292" s="39">
        <v>1</v>
      </c>
      <c r="N292" s="39" t="s">
        <v>309</v>
      </c>
      <c r="O292" s="39"/>
      <c r="P292" s="39"/>
      <c r="Q292" s="39"/>
      <c r="R292" s="41"/>
      <c r="S292" s="39"/>
      <c r="T292" s="41" t="s">
        <v>1356</v>
      </c>
      <c r="U292" s="40" t="s">
        <v>1355</v>
      </c>
      <c r="V292" s="41"/>
      <c r="W292" s="40"/>
      <c r="X292" s="42" t="s">
        <v>1349</v>
      </c>
      <c r="Y292" s="42" t="s">
        <v>267</v>
      </c>
      <c r="Z292" s="43"/>
      <c r="AA292" s="44" t="s">
        <v>1350</v>
      </c>
      <c r="AB292" s="38" t="str">
        <f t="shared" si="4"/>
        <v>9N86100000</v>
      </c>
    </row>
    <row r="293" spans="4:28" ht="33" customHeight="1">
      <c r="D293" s="39"/>
      <c r="E293" s="45"/>
      <c r="F293" s="39">
        <v>600</v>
      </c>
      <c r="G293" s="39" t="s">
        <v>1319</v>
      </c>
      <c r="H293" s="39">
        <v>2680</v>
      </c>
      <c r="I293" s="39" t="s">
        <v>1357</v>
      </c>
      <c r="J293" s="40" t="s">
        <v>1358</v>
      </c>
      <c r="K293" s="39" t="s">
        <v>262</v>
      </c>
      <c r="L293" s="39" t="s">
        <v>263</v>
      </c>
      <c r="M293" s="39">
        <v>4</v>
      </c>
      <c r="N293" s="39" t="s">
        <v>273</v>
      </c>
      <c r="O293" s="39" t="s">
        <v>274</v>
      </c>
      <c r="P293" s="39" t="s">
        <v>274</v>
      </c>
      <c r="Q293" s="39"/>
      <c r="R293" s="41"/>
      <c r="S293" s="39"/>
      <c r="T293" s="41" t="s">
        <v>1359</v>
      </c>
      <c r="U293" s="40" t="s">
        <v>1358</v>
      </c>
      <c r="V293" s="41"/>
      <c r="W293" s="40"/>
      <c r="X293" s="42"/>
      <c r="Y293" s="42" t="s">
        <v>267</v>
      </c>
      <c r="Z293" s="43"/>
      <c r="AA293" s="44" t="s">
        <v>1360</v>
      </c>
      <c r="AB293" s="38" t="str">
        <f t="shared" si="4"/>
        <v>9N86600000</v>
      </c>
    </row>
    <row r="294" spans="4:28" ht="33" customHeight="1">
      <c r="D294" s="39"/>
      <c r="E294" s="45"/>
      <c r="F294" s="39">
        <v>600</v>
      </c>
      <c r="G294" s="39" t="s">
        <v>1319</v>
      </c>
      <c r="H294" s="39">
        <v>2690</v>
      </c>
      <c r="I294" s="39" t="s">
        <v>1361</v>
      </c>
      <c r="J294" s="40" t="s">
        <v>1362</v>
      </c>
      <c r="K294" s="39" t="s">
        <v>307</v>
      </c>
      <c r="L294" s="39" t="s">
        <v>308</v>
      </c>
      <c r="M294" s="39">
        <v>1</v>
      </c>
      <c r="N294" s="39" t="s">
        <v>309</v>
      </c>
      <c r="O294" s="39"/>
      <c r="P294" s="39"/>
      <c r="Q294" s="39"/>
      <c r="R294" s="41"/>
      <c r="S294" s="39"/>
      <c r="T294" s="41" t="s">
        <v>1363</v>
      </c>
      <c r="U294" s="40" t="s">
        <v>1362</v>
      </c>
      <c r="V294" s="41"/>
      <c r="W294" s="40"/>
      <c r="X294" s="42" t="s">
        <v>1349</v>
      </c>
      <c r="Y294" s="42" t="s">
        <v>267</v>
      </c>
      <c r="Z294" s="43"/>
      <c r="AA294" s="44" t="s">
        <v>1350</v>
      </c>
      <c r="AB294" s="38" t="str">
        <f t="shared" si="4"/>
        <v>9N87100000</v>
      </c>
    </row>
    <row r="295" spans="4:28" ht="33" customHeight="1">
      <c r="D295" s="39"/>
      <c r="E295" s="45"/>
      <c r="F295" s="39">
        <v>600</v>
      </c>
      <c r="G295" s="39" t="s">
        <v>1319</v>
      </c>
      <c r="H295" s="39">
        <v>2700</v>
      </c>
      <c r="I295" s="39" t="s">
        <v>1364</v>
      </c>
      <c r="J295" s="40" t="s">
        <v>1365</v>
      </c>
      <c r="K295" s="39" t="s">
        <v>307</v>
      </c>
      <c r="L295" s="39" t="s">
        <v>308</v>
      </c>
      <c r="M295" s="39">
        <v>1</v>
      </c>
      <c r="N295" s="39" t="s">
        <v>309</v>
      </c>
      <c r="O295" s="39"/>
      <c r="P295" s="39"/>
      <c r="Q295" s="39"/>
      <c r="R295" s="41"/>
      <c r="S295" s="39"/>
      <c r="T295" s="41" t="s">
        <v>1366</v>
      </c>
      <c r="U295" s="40" t="s">
        <v>1365</v>
      </c>
      <c r="V295" s="41"/>
      <c r="W295" s="40"/>
      <c r="X295" s="42" t="s">
        <v>1349</v>
      </c>
      <c r="Y295" s="42" t="s">
        <v>267</v>
      </c>
      <c r="Z295" s="43"/>
      <c r="AA295" s="44" t="s">
        <v>1350</v>
      </c>
      <c r="AB295" s="38" t="str">
        <f t="shared" si="4"/>
        <v>9N87600000</v>
      </c>
    </row>
    <row r="296" spans="4:28" ht="33" customHeight="1">
      <c r="D296" s="39"/>
      <c r="E296" s="45"/>
      <c r="F296" s="39">
        <v>600</v>
      </c>
      <c r="G296" s="39" t="s">
        <v>1319</v>
      </c>
      <c r="H296" s="39">
        <v>2710</v>
      </c>
      <c r="I296" s="39" t="s">
        <v>1367</v>
      </c>
      <c r="J296" s="40" t="s">
        <v>1368</v>
      </c>
      <c r="K296" s="39" t="s">
        <v>307</v>
      </c>
      <c r="L296" s="39" t="s">
        <v>308</v>
      </c>
      <c r="M296" s="39">
        <v>1</v>
      </c>
      <c r="N296" s="39" t="s">
        <v>309</v>
      </c>
      <c r="O296" s="39"/>
      <c r="P296" s="39"/>
      <c r="Q296" s="39"/>
      <c r="R296" s="41"/>
      <c r="S296" s="39"/>
      <c r="T296" s="41" t="s">
        <v>1369</v>
      </c>
      <c r="U296" s="40" t="s">
        <v>1368</v>
      </c>
      <c r="V296" s="41"/>
      <c r="W296" s="40"/>
      <c r="X296" s="42" t="s">
        <v>1349</v>
      </c>
      <c r="Y296" s="42" t="s">
        <v>267</v>
      </c>
      <c r="Z296" s="43"/>
      <c r="AA296" s="44" t="s">
        <v>1350</v>
      </c>
      <c r="AB296" s="38" t="str">
        <f t="shared" si="4"/>
        <v>9N88100000</v>
      </c>
    </row>
    <row r="297" spans="4:28" ht="33" customHeight="1">
      <c r="D297" s="39"/>
      <c r="E297" s="45"/>
      <c r="F297" s="39">
        <v>600</v>
      </c>
      <c r="G297" s="39" t="s">
        <v>1319</v>
      </c>
      <c r="H297" s="39">
        <v>2720</v>
      </c>
      <c r="I297" s="39" t="s">
        <v>1370</v>
      </c>
      <c r="J297" s="40" t="s">
        <v>1371</v>
      </c>
      <c r="K297" s="39" t="s">
        <v>307</v>
      </c>
      <c r="L297" s="39" t="s">
        <v>308</v>
      </c>
      <c r="M297" s="39">
        <v>1</v>
      </c>
      <c r="N297" s="39" t="s">
        <v>309</v>
      </c>
      <c r="O297" s="39"/>
      <c r="P297" s="39"/>
      <c r="Q297" s="39"/>
      <c r="R297" s="41"/>
      <c r="S297" s="39"/>
      <c r="T297" s="41" t="s">
        <v>1372</v>
      </c>
      <c r="U297" s="40" t="s">
        <v>1371</v>
      </c>
      <c r="V297" s="41"/>
      <c r="W297" s="40"/>
      <c r="X297" s="42" t="s">
        <v>1323</v>
      </c>
      <c r="Y297" s="42" t="s">
        <v>267</v>
      </c>
      <c r="Z297" s="43"/>
      <c r="AA297" s="44" t="s">
        <v>1324</v>
      </c>
      <c r="AB297" s="38" t="str">
        <f t="shared" si="4"/>
        <v>9N88600000</v>
      </c>
    </row>
    <row r="298" spans="4:28" ht="33" customHeight="1">
      <c r="D298" s="39"/>
      <c r="E298" s="45"/>
      <c r="F298" s="39">
        <v>600</v>
      </c>
      <c r="G298" s="39" t="s">
        <v>1319</v>
      </c>
      <c r="H298" s="39">
        <v>2730</v>
      </c>
      <c r="I298" s="39" t="s">
        <v>1373</v>
      </c>
      <c r="J298" s="40" t="s">
        <v>1374</v>
      </c>
      <c r="K298" s="39" t="s">
        <v>307</v>
      </c>
      <c r="L298" s="39" t="s">
        <v>308</v>
      </c>
      <c r="M298" s="39">
        <v>1</v>
      </c>
      <c r="N298" s="39" t="s">
        <v>309</v>
      </c>
      <c r="O298" s="39"/>
      <c r="P298" s="39"/>
      <c r="Q298" s="39"/>
      <c r="R298" s="41"/>
      <c r="S298" s="39"/>
      <c r="T298" s="41" t="s">
        <v>1375</v>
      </c>
      <c r="U298" s="40" t="s">
        <v>1374</v>
      </c>
      <c r="V298" s="41"/>
      <c r="W298" s="40"/>
      <c r="X298" s="42" t="s">
        <v>1349</v>
      </c>
      <c r="Y298" s="42" t="s">
        <v>267</v>
      </c>
      <c r="Z298" s="43"/>
      <c r="AA298" s="44" t="s">
        <v>1350</v>
      </c>
      <c r="AB298" s="38" t="str">
        <f t="shared" si="4"/>
        <v>9N89100000</v>
      </c>
    </row>
    <row r="299" spans="4:28" ht="33" customHeight="1">
      <c r="D299" s="39"/>
      <c r="E299" s="45"/>
      <c r="F299" s="39">
        <v>600</v>
      </c>
      <c r="G299" s="39" t="s">
        <v>1319</v>
      </c>
      <c r="H299" s="39">
        <v>2740</v>
      </c>
      <c r="I299" s="39" t="s">
        <v>1376</v>
      </c>
      <c r="J299" s="40" t="s">
        <v>1377</v>
      </c>
      <c r="K299" s="39" t="s">
        <v>307</v>
      </c>
      <c r="L299" s="39" t="s">
        <v>308</v>
      </c>
      <c r="M299" s="39">
        <v>1</v>
      </c>
      <c r="N299" s="39" t="s">
        <v>309</v>
      </c>
      <c r="O299" s="39"/>
      <c r="P299" s="39"/>
      <c r="Q299" s="39"/>
      <c r="R299" s="41"/>
      <c r="S299" s="39"/>
      <c r="T299" s="41" t="s">
        <v>1378</v>
      </c>
      <c r="U299" s="40" t="s">
        <v>1377</v>
      </c>
      <c r="V299" s="41"/>
      <c r="W299" s="40"/>
      <c r="X299" s="42" t="s">
        <v>1349</v>
      </c>
      <c r="Y299" s="42" t="s">
        <v>267</v>
      </c>
      <c r="Z299" s="43"/>
      <c r="AA299" s="44" t="s">
        <v>1350</v>
      </c>
      <c r="AB299" s="38" t="str">
        <f t="shared" si="4"/>
        <v>9N89600000</v>
      </c>
    </row>
    <row r="300" spans="4:28" ht="33" customHeight="1">
      <c r="D300" s="39"/>
      <c r="E300" s="45"/>
      <c r="F300" s="39">
        <v>600</v>
      </c>
      <c r="G300" s="39" t="s">
        <v>1319</v>
      </c>
      <c r="H300" s="39">
        <v>2750</v>
      </c>
      <c r="I300" s="39" t="s">
        <v>1379</v>
      </c>
      <c r="J300" s="40" t="s">
        <v>1380</v>
      </c>
      <c r="K300" s="39" t="s">
        <v>307</v>
      </c>
      <c r="L300" s="39" t="s">
        <v>308</v>
      </c>
      <c r="M300" s="39">
        <v>1</v>
      </c>
      <c r="N300" s="39" t="s">
        <v>309</v>
      </c>
      <c r="O300" s="39"/>
      <c r="P300" s="39"/>
      <c r="Q300" s="39"/>
      <c r="R300" s="41"/>
      <c r="S300" s="39"/>
      <c r="T300" s="41" t="s">
        <v>1381</v>
      </c>
      <c r="U300" s="40" t="s">
        <v>1380</v>
      </c>
      <c r="V300" s="41"/>
      <c r="W300" s="40"/>
      <c r="X300" s="42" t="s">
        <v>1323</v>
      </c>
      <c r="Y300" s="42" t="s">
        <v>267</v>
      </c>
      <c r="Z300" s="43"/>
      <c r="AA300" s="44" t="s">
        <v>1324</v>
      </c>
      <c r="AB300" s="38" t="str">
        <f t="shared" si="4"/>
        <v>9N90100000</v>
      </c>
    </row>
    <row r="301" spans="4:28" ht="33" customHeight="1">
      <c r="D301" s="39"/>
      <c r="E301" s="45"/>
      <c r="F301" s="39">
        <v>600</v>
      </c>
      <c r="G301" s="39" t="s">
        <v>1319</v>
      </c>
      <c r="H301" s="39">
        <v>2760</v>
      </c>
      <c r="I301" s="39" t="s">
        <v>1382</v>
      </c>
      <c r="J301" s="40" t="s">
        <v>1383</v>
      </c>
      <c r="K301" s="39" t="s">
        <v>307</v>
      </c>
      <c r="L301" s="39" t="s">
        <v>308</v>
      </c>
      <c r="M301" s="39">
        <v>1</v>
      </c>
      <c r="N301" s="39" t="s">
        <v>309</v>
      </c>
      <c r="O301" s="39"/>
      <c r="P301" s="39"/>
      <c r="Q301" s="39"/>
      <c r="R301" s="41"/>
      <c r="S301" s="39"/>
      <c r="T301" s="41" t="s">
        <v>1384</v>
      </c>
      <c r="U301" s="40" t="s">
        <v>1383</v>
      </c>
      <c r="V301" s="41"/>
      <c r="W301" s="40"/>
      <c r="X301" s="42" t="s">
        <v>1349</v>
      </c>
      <c r="Y301" s="42" t="s">
        <v>267</v>
      </c>
      <c r="Z301" s="43"/>
      <c r="AA301" s="44" t="s">
        <v>1350</v>
      </c>
      <c r="AB301" s="38" t="str">
        <f t="shared" si="4"/>
        <v>9N90600000</v>
      </c>
    </row>
    <row r="302" spans="4:28" ht="33" customHeight="1">
      <c r="D302" s="39"/>
      <c r="E302" s="45"/>
      <c r="F302" s="39">
        <v>600</v>
      </c>
      <c r="G302" s="39" t="s">
        <v>1319</v>
      </c>
      <c r="H302" s="39">
        <v>2770</v>
      </c>
      <c r="I302" s="39" t="s">
        <v>1385</v>
      </c>
      <c r="J302" s="40" t="s">
        <v>1386</v>
      </c>
      <c r="K302" s="39" t="s">
        <v>307</v>
      </c>
      <c r="L302" s="39" t="s">
        <v>308</v>
      </c>
      <c r="M302" s="39">
        <v>1</v>
      </c>
      <c r="N302" s="39" t="s">
        <v>309</v>
      </c>
      <c r="O302" s="39"/>
      <c r="P302" s="39"/>
      <c r="Q302" s="39"/>
      <c r="R302" s="41"/>
      <c r="S302" s="39"/>
      <c r="T302" s="41" t="s">
        <v>1387</v>
      </c>
      <c r="U302" s="40" t="s">
        <v>1386</v>
      </c>
      <c r="V302" s="41"/>
      <c r="W302" s="40"/>
      <c r="X302" s="42" t="s">
        <v>1349</v>
      </c>
      <c r="Y302" s="42" t="s">
        <v>267</v>
      </c>
      <c r="Z302" s="43"/>
      <c r="AA302" s="44" t="s">
        <v>1350</v>
      </c>
      <c r="AB302" s="38" t="str">
        <f t="shared" si="4"/>
        <v>9N91100000</v>
      </c>
    </row>
    <row r="303" spans="4:28" ht="33" customHeight="1">
      <c r="D303" s="39"/>
      <c r="E303" s="45"/>
      <c r="F303" s="39">
        <v>600</v>
      </c>
      <c r="G303" s="39" t="s">
        <v>1319</v>
      </c>
      <c r="H303" s="39">
        <v>2780</v>
      </c>
      <c r="I303" s="39" t="s">
        <v>1388</v>
      </c>
      <c r="J303" s="40" t="s">
        <v>1389</v>
      </c>
      <c r="K303" s="39" t="s">
        <v>307</v>
      </c>
      <c r="L303" s="39" t="s">
        <v>308</v>
      </c>
      <c r="M303" s="39">
        <v>1</v>
      </c>
      <c r="N303" s="39" t="s">
        <v>309</v>
      </c>
      <c r="O303" s="39"/>
      <c r="P303" s="39"/>
      <c r="Q303" s="39"/>
      <c r="R303" s="41"/>
      <c r="S303" s="39"/>
      <c r="T303" s="41" t="s">
        <v>1390</v>
      </c>
      <c r="U303" s="40" t="s">
        <v>1389</v>
      </c>
      <c r="V303" s="41"/>
      <c r="W303" s="40"/>
      <c r="X303" s="42" t="s">
        <v>1349</v>
      </c>
      <c r="Y303" s="42" t="s">
        <v>267</v>
      </c>
      <c r="Z303" s="43"/>
      <c r="AA303" s="44" t="s">
        <v>1350</v>
      </c>
      <c r="AB303" s="38" t="str">
        <f t="shared" si="4"/>
        <v>9N91600000</v>
      </c>
    </row>
    <row r="304" spans="4:28" ht="33" customHeight="1">
      <c r="D304" s="39"/>
      <c r="E304" s="45"/>
      <c r="F304" s="39">
        <v>600</v>
      </c>
      <c r="G304" s="39" t="s">
        <v>1319</v>
      </c>
      <c r="H304" s="39">
        <v>2790</v>
      </c>
      <c r="I304" s="39" t="s">
        <v>1391</v>
      </c>
      <c r="J304" s="40" t="s">
        <v>1392</v>
      </c>
      <c r="K304" s="39" t="s">
        <v>307</v>
      </c>
      <c r="L304" s="39" t="s">
        <v>308</v>
      </c>
      <c r="M304" s="39">
        <v>1</v>
      </c>
      <c r="N304" s="39" t="s">
        <v>309</v>
      </c>
      <c r="O304" s="39"/>
      <c r="P304" s="39"/>
      <c r="Q304" s="39"/>
      <c r="R304" s="41"/>
      <c r="S304" s="39"/>
      <c r="T304" s="41" t="s">
        <v>1393</v>
      </c>
      <c r="U304" s="40" t="s">
        <v>1392</v>
      </c>
      <c r="V304" s="41"/>
      <c r="W304" s="40"/>
      <c r="X304" s="42" t="s">
        <v>1349</v>
      </c>
      <c r="Y304" s="42" t="s">
        <v>267</v>
      </c>
      <c r="Z304" s="43"/>
      <c r="AA304" s="44" t="s">
        <v>1350</v>
      </c>
      <c r="AB304" s="38" t="str">
        <f t="shared" si="4"/>
        <v>9N92100000</v>
      </c>
    </row>
    <row r="305" spans="4:28" ht="33" customHeight="1">
      <c r="D305" s="39"/>
      <c r="E305" s="45"/>
      <c r="F305" s="39">
        <v>600</v>
      </c>
      <c r="G305" s="39" t="s">
        <v>1319</v>
      </c>
      <c r="H305" s="39">
        <v>2800</v>
      </c>
      <c r="I305" s="39" t="s">
        <v>1394</v>
      </c>
      <c r="J305" s="40" t="s">
        <v>1395</v>
      </c>
      <c r="K305" s="39" t="s">
        <v>307</v>
      </c>
      <c r="L305" s="39" t="s">
        <v>308</v>
      </c>
      <c r="M305" s="39">
        <v>1</v>
      </c>
      <c r="N305" s="39" t="s">
        <v>309</v>
      </c>
      <c r="O305" s="39"/>
      <c r="P305" s="39"/>
      <c r="Q305" s="39"/>
      <c r="R305" s="41"/>
      <c r="S305" s="39"/>
      <c r="T305" s="41" t="s">
        <v>1396</v>
      </c>
      <c r="U305" s="40" t="s">
        <v>1395</v>
      </c>
      <c r="V305" s="41"/>
      <c r="W305" s="40"/>
      <c r="X305" s="42" t="s">
        <v>1349</v>
      </c>
      <c r="Y305" s="42" t="s">
        <v>267</v>
      </c>
      <c r="Z305" s="43"/>
      <c r="AA305" s="44" t="s">
        <v>1350</v>
      </c>
      <c r="AB305" s="38" t="str">
        <f t="shared" si="4"/>
        <v>9N92600000</v>
      </c>
    </row>
    <row r="306" spans="4:28" ht="33" customHeight="1">
      <c r="D306" s="39"/>
      <c r="E306" s="45"/>
      <c r="F306" s="39">
        <v>600</v>
      </c>
      <c r="G306" s="39" t="s">
        <v>1319</v>
      </c>
      <c r="H306" s="39">
        <v>2810</v>
      </c>
      <c r="I306" s="39" t="s">
        <v>1397</v>
      </c>
      <c r="J306" s="40" t="s">
        <v>1398</v>
      </c>
      <c r="K306" s="39" t="s">
        <v>307</v>
      </c>
      <c r="L306" s="39" t="s">
        <v>308</v>
      </c>
      <c r="M306" s="39">
        <v>1</v>
      </c>
      <c r="N306" s="39" t="s">
        <v>309</v>
      </c>
      <c r="O306" s="39"/>
      <c r="P306" s="39"/>
      <c r="Q306" s="39"/>
      <c r="R306" s="41"/>
      <c r="S306" s="39"/>
      <c r="T306" s="41" t="s">
        <v>1399</v>
      </c>
      <c r="U306" s="40" t="s">
        <v>1398</v>
      </c>
      <c r="V306" s="41"/>
      <c r="W306" s="40"/>
      <c r="X306" s="42" t="s">
        <v>1349</v>
      </c>
      <c r="Y306" s="42" t="s">
        <v>267</v>
      </c>
      <c r="Z306" s="43"/>
      <c r="AA306" s="44" t="s">
        <v>1350</v>
      </c>
      <c r="AB306" s="38" t="str">
        <f t="shared" si="4"/>
        <v>9N93100000</v>
      </c>
    </row>
    <row r="307" spans="4:28" ht="99.75" customHeight="1">
      <c r="D307" s="39"/>
      <c r="E307" s="39" t="s">
        <v>1082</v>
      </c>
      <c r="F307" s="39">
        <v>700</v>
      </c>
      <c r="G307" s="39" t="s">
        <v>1400</v>
      </c>
      <c r="H307" s="39">
        <v>2820</v>
      </c>
      <c r="I307" s="39" t="s">
        <v>1401</v>
      </c>
      <c r="J307" s="40" t="s">
        <v>1402</v>
      </c>
      <c r="K307" s="39" t="s">
        <v>307</v>
      </c>
      <c r="L307" s="39" t="s">
        <v>308</v>
      </c>
      <c r="M307" s="39">
        <v>1</v>
      </c>
      <c r="N307" s="39" t="s">
        <v>309</v>
      </c>
      <c r="O307" s="39"/>
      <c r="P307" s="39"/>
      <c r="Q307" s="39"/>
      <c r="R307" s="41"/>
      <c r="S307" s="39"/>
      <c r="T307" s="41" t="s">
        <v>1403</v>
      </c>
      <c r="U307" s="40" t="s">
        <v>1400</v>
      </c>
      <c r="V307" s="41"/>
      <c r="W307" s="40"/>
      <c r="X307" s="42" t="s">
        <v>1404</v>
      </c>
      <c r="Y307" s="42" t="s">
        <v>267</v>
      </c>
      <c r="Z307" s="43" t="s">
        <v>444</v>
      </c>
      <c r="AA307" s="44" t="s">
        <v>1405</v>
      </c>
      <c r="AB307" s="38" t="str">
        <f t="shared" si="4"/>
        <v>9N95000000</v>
      </c>
    </row>
    <row r="308" spans="4:28" ht="117" customHeight="1">
      <c r="D308" s="39"/>
      <c r="E308" s="39" t="s">
        <v>1082</v>
      </c>
      <c r="F308" s="39">
        <v>800</v>
      </c>
      <c r="G308" s="39" t="s">
        <v>1406</v>
      </c>
      <c r="H308" s="39">
        <v>2830</v>
      </c>
      <c r="I308" s="39" t="s">
        <v>1407</v>
      </c>
      <c r="J308" s="40" t="s">
        <v>1408</v>
      </c>
      <c r="K308" s="39" t="s">
        <v>307</v>
      </c>
      <c r="L308" s="39" t="s">
        <v>308</v>
      </c>
      <c r="M308" s="39">
        <v>1</v>
      </c>
      <c r="N308" s="39" t="s">
        <v>309</v>
      </c>
      <c r="O308" s="39"/>
      <c r="P308" s="39"/>
      <c r="Q308" s="39"/>
      <c r="R308" s="41"/>
      <c r="S308" s="39"/>
      <c r="T308" s="41" t="s">
        <v>1409</v>
      </c>
      <c r="U308" s="40" t="s">
        <v>1406</v>
      </c>
      <c r="V308" s="41"/>
      <c r="W308" s="40"/>
      <c r="X308" s="42" t="s">
        <v>1410</v>
      </c>
      <c r="Y308" s="42" t="s">
        <v>267</v>
      </c>
      <c r="Z308" s="43" t="s">
        <v>444</v>
      </c>
      <c r="AA308" s="44" t="s">
        <v>1411</v>
      </c>
      <c r="AB308" s="38" t="str">
        <f t="shared" si="4"/>
        <v>9N80700000</v>
      </c>
    </row>
    <row r="309" spans="4:28" ht="56.25" customHeight="1">
      <c r="D309" s="39"/>
      <c r="E309" s="45"/>
      <c r="F309" s="39">
        <v>900</v>
      </c>
      <c r="G309" s="39" t="s">
        <v>1412</v>
      </c>
      <c r="H309" s="39">
        <v>2840</v>
      </c>
      <c r="I309" s="39" t="s">
        <v>1413</v>
      </c>
      <c r="J309" s="40" t="s">
        <v>1414</v>
      </c>
      <c r="K309" s="39" t="s">
        <v>307</v>
      </c>
      <c r="L309" s="39" t="s">
        <v>308</v>
      </c>
      <c r="M309" s="39">
        <v>1</v>
      </c>
      <c r="N309" s="39" t="s">
        <v>309</v>
      </c>
      <c r="O309" s="39"/>
      <c r="P309" s="39"/>
      <c r="Q309" s="39"/>
      <c r="R309" s="41"/>
      <c r="S309" s="39"/>
      <c r="T309" s="41" t="s">
        <v>1415</v>
      </c>
      <c r="U309" s="40" t="s">
        <v>1414</v>
      </c>
      <c r="V309" s="41"/>
      <c r="W309" s="40"/>
      <c r="X309" s="42" t="s">
        <v>1416</v>
      </c>
      <c r="Y309" s="42" t="s">
        <v>267</v>
      </c>
      <c r="Z309" s="44" t="s">
        <v>1417</v>
      </c>
      <c r="AA309" s="44" t="s">
        <v>1418</v>
      </c>
      <c r="AB309" s="38" t="str">
        <f t="shared" si="4"/>
        <v>9N93200000</v>
      </c>
    </row>
    <row r="310" spans="4:28" ht="37.5" customHeight="1">
      <c r="D310" s="39"/>
      <c r="E310" s="45"/>
      <c r="F310" s="39">
        <v>900</v>
      </c>
      <c r="G310" s="39" t="s">
        <v>1412</v>
      </c>
      <c r="H310" s="39">
        <v>2850</v>
      </c>
      <c r="I310" s="39" t="s">
        <v>1419</v>
      </c>
      <c r="J310" s="40" t="s">
        <v>1420</v>
      </c>
      <c r="K310" s="39" t="s">
        <v>307</v>
      </c>
      <c r="L310" s="39" t="s">
        <v>308</v>
      </c>
      <c r="M310" s="39">
        <v>1</v>
      </c>
      <c r="N310" s="39" t="s">
        <v>309</v>
      </c>
      <c r="O310" s="39"/>
      <c r="P310" s="39"/>
      <c r="Q310" s="39"/>
      <c r="R310" s="41"/>
      <c r="S310" s="39"/>
      <c r="T310" s="41" t="s">
        <v>1421</v>
      </c>
      <c r="U310" s="40" t="s">
        <v>1420</v>
      </c>
      <c r="V310" s="41"/>
      <c r="W310" s="40"/>
      <c r="X310" s="42" t="s">
        <v>1422</v>
      </c>
      <c r="Y310" s="42" t="s">
        <v>267</v>
      </c>
      <c r="Z310" s="44" t="s">
        <v>1417</v>
      </c>
      <c r="AA310" s="44" t="s">
        <v>1423</v>
      </c>
      <c r="AB310" s="38" t="str">
        <f t="shared" si="4"/>
        <v>9N93300000</v>
      </c>
    </row>
    <row r="311" spans="4:28" ht="37.5" customHeight="1">
      <c r="D311" s="39"/>
      <c r="E311" s="45"/>
      <c r="F311" s="39">
        <v>900</v>
      </c>
      <c r="G311" s="39" t="s">
        <v>1412</v>
      </c>
      <c r="H311" s="39">
        <v>2860</v>
      </c>
      <c r="I311" s="39" t="s">
        <v>1424</v>
      </c>
      <c r="J311" s="40" t="s">
        <v>1425</v>
      </c>
      <c r="K311" s="39" t="s">
        <v>307</v>
      </c>
      <c r="L311" s="39" t="s">
        <v>308</v>
      </c>
      <c r="M311" s="39">
        <v>1</v>
      </c>
      <c r="N311" s="39" t="s">
        <v>309</v>
      </c>
      <c r="O311" s="39"/>
      <c r="P311" s="39"/>
      <c r="Q311" s="39"/>
      <c r="R311" s="41"/>
      <c r="S311" s="39"/>
      <c r="T311" s="41" t="s">
        <v>1426</v>
      </c>
      <c r="U311" s="40" t="s">
        <v>1425</v>
      </c>
      <c r="V311" s="41"/>
      <c r="W311" s="40"/>
      <c r="X311" s="42" t="s">
        <v>1427</v>
      </c>
      <c r="Y311" s="42" t="s">
        <v>267</v>
      </c>
      <c r="Z311" s="44" t="s">
        <v>1417</v>
      </c>
      <c r="AA311" s="44" t="s">
        <v>1428</v>
      </c>
      <c r="AB311" s="38" t="str">
        <f t="shared" si="4"/>
        <v>9N93400000</v>
      </c>
    </row>
    <row r="312" spans="4:28" ht="56.25" customHeight="1">
      <c r="D312" s="39"/>
      <c r="E312" s="45"/>
      <c r="F312" s="39">
        <v>900</v>
      </c>
      <c r="G312" s="39" t="s">
        <v>1412</v>
      </c>
      <c r="H312" s="39">
        <v>2870</v>
      </c>
      <c r="I312" s="39" t="s">
        <v>1429</v>
      </c>
      <c r="J312" s="40" t="s">
        <v>1430</v>
      </c>
      <c r="K312" s="39" t="s">
        <v>307</v>
      </c>
      <c r="L312" s="39" t="s">
        <v>308</v>
      </c>
      <c r="M312" s="39">
        <v>1</v>
      </c>
      <c r="N312" s="39" t="s">
        <v>309</v>
      </c>
      <c r="O312" s="39"/>
      <c r="P312" s="39"/>
      <c r="Q312" s="39"/>
      <c r="R312" s="41"/>
      <c r="S312" s="39"/>
      <c r="T312" s="41" t="s">
        <v>1431</v>
      </c>
      <c r="U312" s="40" t="s">
        <v>1432</v>
      </c>
      <c r="V312" s="41"/>
      <c r="W312" s="40"/>
      <c r="X312" s="42" t="s">
        <v>1433</v>
      </c>
      <c r="Y312" s="42" t="s">
        <v>267</v>
      </c>
      <c r="Z312" s="44" t="s">
        <v>1417</v>
      </c>
      <c r="AA312" s="44" t="s">
        <v>1428</v>
      </c>
      <c r="AB312" s="38" t="str">
        <f t="shared" si="4"/>
        <v>9N93500000</v>
      </c>
    </row>
    <row r="313" spans="4:28" ht="37.5" customHeight="1">
      <c r="D313" s="39"/>
      <c r="E313" s="45"/>
      <c r="F313" s="39">
        <v>900</v>
      </c>
      <c r="G313" s="39" t="s">
        <v>1412</v>
      </c>
      <c r="H313" s="39">
        <v>2880</v>
      </c>
      <c r="I313" s="39" t="s">
        <v>1434</v>
      </c>
      <c r="J313" s="40" t="s">
        <v>1435</v>
      </c>
      <c r="K313" s="39" t="s">
        <v>307</v>
      </c>
      <c r="L313" s="39" t="s">
        <v>308</v>
      </c>
      <c r="M313" s="39">
        <v>1</v>
      </c>
      <c r="N313" s="39" t="s">
        <v>309</v>
      </c>
      <c r="O313" s="39"/>
      <c r="P313" s="39"/>
      <c r="Q313" s="39"/>
      <c r="R313" s="41"/>
      <c r="S313" s="39"/>
      <c r="T313" s="41" t="s">
        <v>1436</v>
      </c>
      <c r="U313" s="40" t="s">
        <v>1435</v>
      </c>
      <c r="V313" s="41"/>
      <c r="W313" s="40"/>
      <c r="X313" s="42" t="s">
        <v>1437</v>
      </c>
      <c r="Y313" s="42" t="s">
        <v>267</v>
      </c>
      <c r="Z313" s="44" t="s">
        <v>1417</v>
      </c>
      <c r="AA313" s="44" t="s">
        <v>1428</v>
      </c>
      <c r="AB313" s="38" t="str">
        <f t="shared" si="4"/>
        <v>9N93600000</v>
      </c>
    </row>
    <row r="314" spans="4:28" ht="37.5" customHeight="1">
      <c r="D314" s="39"/>
      <c r="E314" s="45"/>
      <c r="F314" s="39">
        <v>900</v>
      </c>
      <c r="G314" s="39" t="s">
        <v>1412</v>
      </c>
      <c r="H314" s="39">
        <v>2890</v>
      </c>
      <c r="I314" s="39" t="s">
        <v>1438</v>
      </c>
      <c r="J314" s="40" t="s">
        <v>1439</v>
      </c>
      <c r="K314" s="39" t="s">
        <v>307</v>
      </c>
      <c r="L314" s="39" t="s">
        <v>308</v>
      </c>
      <c r="M314" s="39">
        <v>1</v>
      </c>
      <c r="N314" s="39" t="s">
        <v>309</v>
      </c>
      <c r="O314" s="39"/>
      <c r="P314" s="39"/>
      <c r="Q314" s="39"/>
      <c r="R314" s="41"/>
      <c r="S314" s="39"/>
      <c r="T314" s="41" t="s">
        <v>1440</v>
      </c>
      <c r="U314" s="40" t="s">
        <v>1439</v>
      </c>
      <c r="V314" s="41"/>
      <c r="W314" s="40"/>
      <c r="X314" s="42" t="s">
        <v>1441</v>
      </c>
      <c r="Y314" s="42" t="s">
        <v>267</v>
      </c>
      <c r="Z314" s="44" t="s">
        <v>1417</v>
      </c>
      <c r="AA314" s="44" t="s">
        <v>1428</v>
      </c>
      <c r="AB314" s="38" t="str">
        <f t="shared" si="4"/>
        <v>9N93700000</v>
      </c>
    </row>
    <row r="315" spans="4:28" ht="37.5" customHeight="1">
      <c r="D315" s="39"/>
      <c r="E315" s="45"/>
      <c r="F315" s="39">
        <v>900</v>
      </c>
      <c r="G315" s="39" t="s">
        <v>1412</v>
      </c>
      <c r="H315" s="39">
        <v>2900</v>
      </c>
      <c r="I315" s="39" t="s">
        <v>1442</v>
      </c>
      <c r="J315" s="40" t="s">
        <v>1443</v>
      </c>
      <c r="K315" s="39" t="s">
        <v>307</v>
      </c>
      <c r="L315" s="39" t="s">
        <v>308</v>
      </c>
      <c r="M315" s="39">
        <v>1</v>
      </c>
      <c r="N315" s="39" t="s">
        <v>309</v>
      </c>
      <c r="O315" s="39"/>
      <c r="P315" s="39"/>
      <c r="Q315" s="39"/>
      <c r="R315" s="41"/>
      <c r="S315" s="39"/>
      <c r="T315" s="41" t="s">
        <v>1444</v>
      </c>
      <c r="U315" s="40" t="s">
        <v>1443</v>
      </c>
      <c r="V315" s="41"/>
      <c r="W315" s="40"/>
      <c r="X315" s="42" t="s">
        <v>1445</v>
      </c>
      <c r="Y315" s="42" t="s">
        <v>267</v>
      </c>
      <c r="Z315" s="44" t="s">
        <v>1417</v>
      </c>
      <c r="AA315" s="44" t="s">
        <v>1428</v>
      </c>
      <c r="AB315" s="38" t="str">
        <f t="shared" si="4"/>
        <v>9N93800000</v>
      </c>
    </row>
    <row r="316" spans="4:28" ht="37.5" customHeight="1">
      <c r="D316" s="39"/>
      <c r="E316" s="45"/>
      <c r="F316" s="39">
        <v>900</v>
      </c>
      <c r="G316" s="39" t="s">
        <v>1412</v>
      </c>
      <c r="H316" s="39">
        <v>2910</v>
      </c>
      <c r="I316" s="39" t="s">
        <v>1446</v>
      </c>
      <c r="J316" s="40" t="s">
        <v>1447</v>
      </c>
      <c r="K316" s="39" t="s">
        <v>307</v>
      </c>
      <c r="L316" s="39" t="s">
        <v>308</v>
      </c>
      <c r="M316" s="39">
        <v>1</v>
      </c>
      <c r="N316" s="39" t="s">
        <v>309</v>
      </c>
      <c r="O316" s="39"/>
      <c r="P316" s="39"/>
      <c r="Q316" s="39"/>
      <c r="R316" s="41"/>
      <c r="S316" s="39"/>
      <c r="T316" s="41" t="s">
        <v>1448</v>
      </c>
      <c r="U316" s="40" t="s">
        <v>1447</v>
      </c>
      <c r="V316" s="41"/>
      <c r="W316" s="40"/>
      <c r="X316" s="42" t="s">
        <v>1449</v>
      </c>
      <c r="Y316" s="42" t="s">
        <v>267</v>
      </c>
      <c r="Z316" s="44" t="s">
        <v>1417</v>
      </c>
      <c r="AA316" s="44" t="s">
        <v>1428</v>
      </c>
      <c r="AB316" s="38" t="str">
        <f t="shared" si="4"/>
        <v>9N93900000</v>
      </c>
    </row>
    <row r="317" spans="4:28" ht="37.5" customHeight="1">
      <c r="D317" s="39"/>
      <c r="E317" s="45"/>
      <c r="F317" s="39">
        <v>900</v>
      </c>
      <c r="G317" s="39" t="s">
        <v>1412</v>
      </c>
      <c r="H317" s="39">
        <v>2920</v>
      </c>
      <c r="I317" s="39" t="s">
        <v>1450</v>
      </c>
      <c r="J317" s="40" t="s">
        <v>1451</v>
      </c>
      <c r="K317" s="39" t="s">
        <v>307</v>
      </c>
      <c r="L317" s="39" t="s">
        <v>308</v>
      </c>
      <c r="M317" s="39">
        <v>1</v>
      </c>
      <c r="N317" s="39" t="s">
        <v>309</v>
      </c>
      <c r="O317" s="39"/>
      <c r="P317" s="39"/>
      <c r="Q317" s="39"/>
      <c r="R317" s="41"/>
      <c r="S317" s="39"/>
      <c r="T317" s="41" t="s">
        <v>1452</v>
      </c>
      <c r="U317" s="40" t="s">
        <v>1451</v>
      </c>
      <c r="V317" s="41"/>
      <c r="W317" s="40"/>
      <c r="X317" s="42" t="s">
        <v>1453</v>
      </c>
      <c r="Y317" s="42" t="s">
        <v>267</v>
      </c>
      <c r="Z317" s="44" t="s">
        <v>1417</v>
      </c>
      <c r="AA317" s="44" t="s">
        <v>1428</v>
      </c>
      <c r="AB317" s="38" t="str">
        <f t="shared" si="4"/>
        <v>9N94000000</v>
      </c>
    </row>
    <row r="318" spans="4:28" ht="56.25" customHeight="1">
      <c r="D318" s="39"/>
      <c r="E318" s="45"/>
      <c r="F318" s="39">
        <v>900</v>
      </c>
      <c r="G318" s="39" t="s">
        <v>1412</v>
      </c>
      <c r="H318" s="39">
        <v>2930</v>
      </c>
      <c r="I318" s="39" t="s">
        <v>1454</v>
      </c>
      <c r="J318" s="40" t="s">
        <v>1455</v>
      </c>
      <c r="K318" s="39" t="s">
        <v>307</v>
      </c>
      <c r="L318" s="39" t="s">
        <v>308</v>
      </c>
      <c r="M318" s="39">
        <v>1</v>
      </c>
      <c r="N318" s="39" t="s">
        <v>309</v>
      </c>
      <c r="O318" s="39"/>
      <c r="P318" s="39"/>
      <c r="Q318" s="39"/>
      <c r="R318" s="41"/>
      <c r="S318" s="39"/>
      <c r="T318" s="41" t="s">
        <v>1456</v>
      </c>
      <c r="U318" s="40" t="s">
        <v>1455</v>
      </c>
      <c r="V318" s="41"/>
      <c r="W318" s="40"/>
      <c r="X318" s="42" t="s">
        <v>1457</v>
      </c>
      <c r="Y318" s="42" t="s">
        <v>267</v>
      </c>
      <c r="Z318" s="44" t="s">
        <v>1417</v>
      </c>
      <c r="AA318" s="44" t="s">
        <v>1428</v>
      </c>
      <c r="AB318" s="38" t="str">
        <f t="shared" si="4"/>
        <v>9N94100000</v>
      </c>
    </row>
    <row r="319" spans="4:28" ht="37.5" customHeight="1">
      <c r="D319" s="39"/>
      <c r="E319" s="45"/>
      <c r="F319" s="39">
        <v>900</v>
      </c>
      <c r="G319" s="39" t="s">
        <v>1412</v>
      </c>
      <c r="H319" s="39">
        <v>2940</v>
      </c>
      <c r="I319" s="39" t="s">
        <v>1458</v>
      </c>
      <c r="J319" s="40" t="s">
        <v>1459</v>
      </c>
      <c r="K319" s="39" t="s">
        <v>307</v>
      </c>
      <c r="L319" s="39" t="s">
        <v>308</v>
      </c>
      <c r="M319" s="39">
        <v>1</v>
      </c>
      <c r="N319" s="39" t="s">
        <v>309</v>
      </c>
      <c r="O319" s="39"/>
      <c r="P319" s="39"/>
      <c r="Q319" s="39"/>
      <c r="R319" s="41"/>
      <c r="S319" s="39"/>
      <c r="T319" s="41" t="s">
        <v>1460</v>
      </c>
      <c r="U319" s="40" t="s">
        <v>1459</v>
      </c>
      <c r="V319" s="41"/>
      <c r="W319" s="40"/>
      <c r="X319" s="42" t="s">
        <v>1461</v>
      </c>
      <c r="Y319" s="42" t="s">
        <v>267</v>
      </c>
      <c r="Z319" s="44" t="s">
        <v>1417</v>
      </c>
      <c r="AA319" s="44" t="s">
        <v>1428</v>
      </c>
      <c r="AB319" s="38" t="str">
        <f t="shared" si="4"/>
        <v>9N94200000</v>
      </c>
    </row>
    <row r="320" spans="4:28" ht="37.5" customHeight="1">
      <c r="D320" s="39"/>
      <c r="E320" s="45"/>
      <c r="F320" s="39">
        <v>900</v>
      </c>
      <c r="G320" s="39" t="s">
        <v>1412</v>
      </c>
      <c r="H320" s="39">
        <v>2950</v>
      </c>
      <c r="I320" s="39" t="s">
        <v>1462</v>
      </c>
      <c r="J320" s="40" t="s">
        <v>1463</v>
      </c>
      <c r="K320" s="39" t="s">
        <v>307</v>
      </c>
      <c r="L320" s="39" t="s">
        <v>308</v>
      </c>
      <c r="M320" s="39">
        <v>1</v>
      </c>
      <c r="N320" s="39" t="s">
        <v>309</v>
      </c>
      <c r="O320" s="39"/>
      <c r="P320" s="39"/>
      <c r="Q320" s="39"/>
      <c r="R320" s="41"/>
      <c r="S320" s="39"/>
      <c r="T320" s="41" t="s">
        <v>1464</v>
      </c>
      <c r="U320" s="40" t="s">
        <v>1463</v>
      </c>
      <c r="V320" s="41"/>
      <c r="W320" s="40"/>
      <c r="X320" s="42" t="s">
        <v>1465</v>
      </c>
      <c r="Y320" s="42" t="s">
        <v>267</v>
      </c>
      <c r="Z320" s="44" t="s">
        <v>1417</v>
      </c>
      <c r="AA320" s="44" t="s">
        <v>1466</v>
      </c>
      <c r="AB320" s="38" t="str">
        <f t="shared" si="4"/>
        <v>9N94300000</v>
      </c>
    </row>
    <row r="321" spans="4:29" ht="37.5" customHeight="1">
      <c r="D321" s="39"/>
      <c r="E321" s="45"/>
      <c r="F321" s="39">
        <v>900</v>
      </c>
      <c r="G321" s="39" t="s">
        <v>1412</v>
      </c>
      <c r="H321" s="39">
        <v>2960</v>
      </c>
      <c r="I321" s="39" t="s">
        <v>1467</v>
      </c>
      <c r="J321" s="40" t="s">
        <v>1468</v>
      </c>
      <c r="K321" s="39" t="s">
        <v>307</v>
      </c>
      <c r="L321" s="39" t="s">
        <v>308</v>
      </c>
      <c r="M321" s="39">
        <v>1</v>
      </c>
      <c r="N321" s="39" t="s">
        <v>309</v>
      </c>
      <c r="O321" s="39"/>
      <c r="P321" s="39"/>
      <c r="Q321" s="39"/>
      <c r="R321" s="41"/>
      <c r="S321" s="39"/>
      <c r="T321" s="41" t="s">
        <v>1469</v>
      </c>
      <c r="U321" s="40" t="s">
        <v>1468</v>
      </c>
      <c r="V321" s="41"/>
      <c r="W321" s="40"/>
      <c r="X321" s="42" t="s">
        <v>1470</v>
      </c>
      <c r="Y321" s="42" t="s">
        <v>267</v>
      </c>
      <c r="Z321" s="44" t="s">
        <v>1417</v>
      </c>
      <c r="AA321" s="44" t="s">
        <v>1428</v>
      </c>
      <c r="AB321" s="38" t="str">
        <f t="shared" si="4"/>
        <v>9N94400000</v>
      </c>
    </row>
    <row r="322" spans="4:29" ht="37.5" customHeight="1">
      <c r="D322" s="39"/>
      <c r="E322" s="45"/>
      <c r="F322" s="39">
        <v>900</v>
      </c>
      <c r="G322" s="39" t="s">
        <v>1412</v>
      </c>
      <c r="H322" s="39">
        <v>2970</v>
      </c>
      <c r="I322" s="39" t="s">
        <v>1471</v>
      </c>
      <c r="J322" s="40" t="s">
        <v>1472</v>
      </c>
      <c r="K322" s="39" t="s">
        <v>307</v>
      </c>
      <c r="L322" s="39" t="s">
        <v>308</v>
      </c>
      <c r="M322" s="39">
        <v>1</v>
      </c>
      <c r="N322" s="39" t="s">
        <v>309</v>
      </c>
      <c r="O322" s="39"/>
      <c r="P322" s="39"/>
      <c r="Q322" s="39"/>
      <c r="R322" s="41"/>
      <c r="S322" s="39"/>
      <c r="T322" s="41" t="s">
        <v>1473</v>
      </c>
      <c r="U322" s="40" t="s">
        <v>1472</v>
      </c>
      <c r="V322" s="41"/>
      <c r="W322" s="40"/>
      <c r="X322" s="42" t="s">
        <v>1474</v>
      </c>
      <c r="Y322" s="42" t="s">
        <v>267</v>
      </c>
      <c r="Z322" s="44" t="s">
        <v>1417</v>
      </c>
      <c r="AA322" s="44" t="s">
        <v>1428</v>
      </c>
      <c r="AB322" s="38" t="str">
        <f t="shared" si="4"/>
        <v>9N94500000</v>
      </c>
    </row>
    <row r="323" spans="4:29" ht="37.5" customHeight="1">
      <c r="D323" s="39"/>
      <c r="E323" s="45"/>
      <c r="F323" s="39">
        <v>900</v>
      </c>
      <c r="G323" s="39" t="s">
        <v>1412</v>
      </c>
      <c r="H323" s="39">
        <v>2980</v>
      </c>
      <c r="I323" s="39" t="s">
        <v>1475</v>
      </c>
      <c r="J323" s="40" t="s">
        <v>1476</v>
      </c>
      <c r="K323" s="39" t="s">
        <v>307</v>
      </c>
      <c r="L323" s="39" t="s">
        <v>308</v>
      </c>
      <c r="M323" s="39">
        <v>1</v>
      </c>
      <c r="N323" s="39" t="s">
        <v>309</v>
      </c>
      <c r="O323" s="39"/>
      <c r="P323" s="39"/>
      <c r="Q323" s="39"/>
      <c r="R323" s="41"/>
      <c r="S323" s="39"/>
      <c r="T323" s="41" t="s">
        <v>1477</v>
      </c>
      <c r="U323" s="40" t="s">
        <v>1476</v>
      </c>
      <c r="V323" s="41"/>
      <c r="W323" s="40"/>
      <c r="X323" s="42" t="s">
        <v>1478</v>
      </c>
      <c r="Y323" s="42" t="s">
        <v>267</v>
      </c>
      <c r="Z323" s="44" t="s">
        <v>1417</v>
      </c>
      <c r="AA323" s="44" t="s">
        <v>1428</v>
      </c>
      <c r="AB323" s="38" t="str">
        <f t="shared" ref="AB323:AB330" si="5">LEFT(I323,10)</f>
        <v>9N94600000</v>
      </c>
    </row>
    <row r="324" spans="4:29" ht="20">
      <c r="D324" s="49"/>
      <c r="E324" s="49"/>
      <c r="F324" s="47"/>
      <c r="G324" s="47"/>
      <c r="H324" s="47"/>
      <c r="I324" s="47"/>
      <c r="J324" s="50"/>
      <c r="K324" s="47"/>
      <c r="L324" s="47"/>
      <c r="M324" s="47"/>
      <c r="N324" s="47"/>
      <c r="O324" s="47"/>
      <c r="P324" s="47"/>
      <c r="Q324" s="47"/>
      <c r="R324" s="51"/>
      <c r="S324" s="47"/>
      <c r="T324" s="51"/>
      <c r="U324" s="50"/>
      <c r="V324" s="51"/>
      <c r="W324" s="50"/>
      <c r="X324" s="47"/>
      <c r="Y324" s="47"/>
      <c r="Z324" s="47"/>
      <c r="AA324" s="47"/>
      <c r="AB324" s="38" t="str">
        <f t="shared" si="5"/>
        <v/>
      </c>
      <c r="AC324" s="38" t="str">
        <f t="shared" ref="AC324:AC330" si="6">IF(J324=AB324,"",1)</f>
        <v/>
      </c>
    </row>
    <row r="325" spans="4:29" ht="20">
      <c r="D325" s="47"/>
      <c r="E325" s="47"/>
      <c r="F325" s="47"/>
      <c r="G325" s="47"/>
      <c r="H325" s="47"/>
      <c r="I325" s="47"/>
      <c r="J325" s="50"/>
      <c r="K325" s="47"/>
      <c r="L325" s="47"/>
      <c r="M325" s="47"/>
      <c r="N325" s="47"/>
      <c r="O325" s="47"/>
      <c r="P325" s="47"/>
      <c r="Q325" s="47"/>
      <c r="R325" s="51"/>
      <c r="S325" s="47"/>
      <c r="T325" s="51"/>
      <c r="U325" s="50"/>
      <c r="V325" s="51"/>
      <c r="W325" s="50"/>
      <c r="X325" s="51"/>
      <c r="Y325" s="51"/>
      <c r="Z325" s="50"/>
      <c r="AA325" s="50"/>
      <c r="AB325" s="38" t="str">
        <f t="shared" si="5"/>
        <v/>
      </c>
      <c r="AC325" s="38" t="str">
        <f t="shared" si="6"/>
        <v/>
      </c>
    </row>
    <row r="326" spans="4:29" ht="20">
      <c r="D326" s="47"/>
      <c r="E326" s="47"/>
      <c r="F326" s="47"/>
      <c r="G326" s="47"/>
      <c r="H326" s="47"/>
      <c r="I326" s="47"/>
      <c r="J326" s="50"/>
      <c r="K326" s="47"/>
      <c r="L326" s="47"/>
      <c r="M326" s="47"/>
      <c r="N326" s="47"/>
      <c r="O326" s="47"/>
      <c r="P326" s="47"/>
      <c r="Q326" s="47"/>
      <c r="R326" s="51"/>
      <c r="S326" s="47"/>
      <c r="T326" s="51"/>
      <c r="U326" s="50"/>
      <c r="V326" s="51"/>
      <c r="W326" s="50"/>
      <c r="X326" s="51"/>
      <c r="Y326" s="51"/>
      <c r="Z326" s="50"/>
      <c r="AA326" s="50"/>
      <c r="AB326" s="38" t="str">
        <f t="shared" si="5"/>
        <v/>
      </c>
      <c r="AC326" s="38" t="str">
        <f t="shared" si="6"/>
        <v/>
      </c>
    </row>
    <row r="327" spans="4:29" ht="20">
      <c r="D327" s="47"/>
      <c r="E327" s="47"/>
      <c r="F327" s="47"/>
      <c r="G327" s="47"/>
      <c r="H327" s="47"/>
      <c r="I327" s="47"/>
      <c r="J327" s="50"/>
      <c r="K327" s="47"/>
      <c r="L327" s="47"/>
      <c r="M327" s="47"/>
      <c r="N327" s="47"/>
      <c r="O327" s="47"/>
      <c r="P327" s="47"/>
      <c r="Q327" s="47"/>
      <c r="R327" s="51"/>
      <c r="S327" s="47"/>
      <c r="T327" s="51"/>
      <c r="U327" s="50"/>
      <c r="V327" s="51"/>
      <c r="W327" s="50"/>
      <c r="X327" s="47"/>
      <c r="Y327" s="47"/>
      <c r="Z327" s="47"/>
      <c r="AA327" s="47"/>
      <c r="AB327" s="38" t="str">
        <f t="shared" si="5"/>
        <v/>
      </c>
      <c r="AC327" s="38" t="str">
        <f t="shared" si="6"/>
        <v/>
      </c>
    </row>
    <row r="328" spans="4:29" ht="20">
      <c r="D328" s="47"/>
      <c r="E328" s="47"/>
      <c r="F328" s="47"/>
      <c r="G328" s="47"/>
      <c r="H328" s="47"/>
      <c r="I328" s="47"/>
      <c r="J328" s="50"/>
      <c r="K328" s="47"/>
      <c r="L328" s="47"/>
      <c r="M328" s="47"/>
      <c r="N328" s="47"/>
      <c r="O328" s="47"/>
      <c r="P328" s="47"/>
      <c r="Q328" s="47"/>
      <c r="R328" s="51"/>
      <c r="S328" s="47"/>
      <c r="T328" s="51"/>
      <c r="U328" s="50"/>
      <c r="V328" s="51"/>
      <c r="W328" s="50"/>
      <c r="X328" s="47"/>
      <c r="Y328" s="47"/>
      <c r="Z328" s="47"/>
      <c r="AA328" s="47"/>
      <c r="AB328" s="38" t="str">
        <f t="shared" si="5"/>
        <v/>
      </c>
      <c r="AC328" s="38" t="str">
        <f t="shared" si="6"/>
        <v/>
      </c>
    </row>
    <row r="329" spans="4:29" ht="20">
      <c r="D329" s="47"/>
      <c r="E329" s="47"/>
      <c r="F329" s="47"/>
      <c r="G329" s="47"/>
      <c r="H329" s="47"/>
      <c r="I329" s="47"/>
      <c r="J329" s="50"/>
      <c r="K329" s="47"/>
      <c r="L329" s="47"/>
      <c r="M329" s="47"/>
      <c r="N329" s="47"/>
      <c r="O329" s="47"/>
      <c r="P329" s="47"/>
      <c r="Q329" s="47"/>
      <c r="R329" s="51"/>
      <c r="S329" s="47"/>
      <c r="T329" s="51"/>
      <c r="U329" s="50"/>
      <c r="V329" s="51"/>
      <c r="W329" s="50"/>
      <c r="X329" s="47"/>
      <c r="Y329" s="47"/>
      <c r="Z329" s="47"/>
      <c r="AA329" s="47"/>
      <c r="AB329" s="38" t="str">
        <f t="shared" si="5"/>
        <v/>
      </c>
      <c r="AC329" s="38" t="str">
        <f t="shared" si="6"/>
        <v/>
      </c>
    </row>
    <row r="330" spans="4:29" ht="20">
      <c r="AB330" s="38" t="str">
        <f t="shared" si="5"/>
        <v/>
      </c>
      <c r="AC330" s="38" t="str">
        <f t="shared" si="6"/>
        <v/>
      </c>
    </row>
  </sheetData>
  <autoFilter ref="D1:AA330" xr:uid="{00000000-0009-0000-0000-000001000000}"/>
  <mergeCells count="7">
    <mergeCell ref="AA91:AA92"/>
    <mergeCell ref="AA33:AA35"/>
    <mergeCell ref="AA36:AA38"/>
    <mergeCell ref="AA75:AA78"/>
    <mergeCell ref="AA79:AA82"/>
    <mergeCell ref="AA87:AA88"/>
    <mergeCell ref="AA89:AA90"/>
  </mergeCells>
  <phoneticPr fontId="7"/>
  <pageMargins left="0.11811023622047249" right="0.11811023622047249" top="0.55118110236220474" bottom="0.35433070866141742" header="0.31496062992125978" footer="0.19685039370078741"/>
  <pageSetup paperSize="9" scale="33" fitToHeight="0" orientation="landscape"/>
  <headerFooter>
    <oddFooter>&amp;R&amp;14 &amp;P ページ</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値の有無の判定の整理</vt:lpstr>
      <vt:lpstr>項目対応表</vt:lpstr>
      <vt:lpstr>省略・代替の基準</vt:lpstr>
      <vt:lpstr>参照元・出典一覧</vt:lpstr>
      <vt:lpstr>付属2(健診項目一覧)</vt:lpstr>
      <vt:lpstr>'付属2(健診項目一覧)'!Print_Titles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長尾博文</cp:lastModifiedBy>
  <dcterms:created xsi:type="dcterms:W3CDTF">2026-07-13T01:35:15Z</dcterms:created>
  <dcterms:modified xsi:type="dcterms:W3CDTF">2026-07-21T06:47:48Z</dcterms:modified>
</cp:coreProperties>
</file>